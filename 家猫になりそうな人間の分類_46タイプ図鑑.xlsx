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46タイプ一覧" sheetId="2" state="visible" r:id="rId2"/>
    <sheet xmlns:r="http://schemas.openxmlformats.org/officeDocument/2006/relationships" name="マッピング" sheetId="3" state="visible" r:id="rId3"/>
    <sheet xmlns:r="http://schemas.openxmlformats.org/officeDocument/2006/relationships" name="出典一覧" sheetId="4" state="visible" r:id="rId4"/>
    <sheet xmlns:r="http://schemas.openxmlformats.org/officeDocument/2006/relationships" name="政府報告書PDF" sheetId="5" state="visible" r:id="rId5"/>
  </sheets>
  <definedNames>
    <definedName name="_xlnm._FilterDatabase" localSheetId="1" hidden="1">'46タイプ一覧'!$A$1:$Q$47</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1F3864"/>
      <sz val="18"/>
    </font>
    <font>
      <name val="Arial"/>
      <color rgb="00595959"/>
      <sz val="11"/>
    </font>
    <font>
      <name val="Arial"/>
      <b val="1"/>
      <color rgb="002E5496"/>
      <sz val="12"/>
    </font>
    <font>
      <name val="Arial"/>
      <color rgb="00000000"/>
      <sz val="11"/>
    </font>
    <font>
      <name val="Arial"/>
      <b val="1"/>
      <color rgb="00000000"/>
      <sz val="10"/>
    </font>
    <font>
      <name val="Arial"/>
      <color rgb="00000000"/>
      <sz val="10"/>
    </font>
    <font>
      <name val="Arial"/>
      <color rgb="00595959"/>
      <sz val="10"/>
    </font>
    <font>
      <name val="Arial"/>
      <b val="1"/>
      <color rgb="00FFFFFF"/>
      <sz val="10"/>
    </font>
    <font>
      <name val="Arial"/>
      <sz val="9"/>
    </font>
    <font>
      <name val="Arial"/>
      <color rgb="000563C1"/>
      <sz val="8"/>
      <u val="single"/>
    </font>
    <font>
      <name val="Arial"/>
      <b val="1"/>
      <color rgb="001F3864"/>
      <sz val="14"/>
    </font>
    <font>
      <name val="Arial"/>
      <b val="1"/>
      <color rgb="002E5496"/>
      <sz val="9"/>
    </font>
    <font>
      <name val="Arial"/>
      <b val="1"/>
      <color rgb="00FFFFFF"/>
      <sz val="9"/>
    </font>
    <font>
      <name val="Arial"/>
      <b val="1"/>
      <color rgb="00808080"/>
      <sz val="10"/>
    </font>
    <font>
      <name val="Arial"/>
      <b val="1"/>
      <color rgb="00C00000"/>
      <sz val="10"/>
    </font>
    <font>
      <name val="Arial"/>
      <b val="1"/>
      <color rgb="002E5496"/>
      <sz val="11"/>
    </font>
    <font>
      <name val="Arial"/>
      <b val="1"/>
      <color rgb="00FFFFFF"/>
      <sz val="11"/>
    </font>
    <font>
      <name val="Arial"/>
      <color rgb="00595959"/>
      <sz val="8"/>
    </font>
  </fonts>
  <fills count="10">
    <fill>
      <patternFill/>
    </fill>
    <fill>
      <patternFill patternType="gray125"/>
    </fill>
    <fill>
      <patternFill patternType="solid">
        <fgColor rgb="001F3864"/>
      </patternFill>
    </fill>
    <fill>
      <patternFill patternType="solid">
        <fgColor rgb="00FFFFFF"/>
      </patternFill>
    </fill>
    <fill>
      <patternFill patternType="solid">
        <fgColor rgb="00F2F2F2"/>
      </patternFill>
    </fill>
    <fill>
      <patternFill patternType="solid">
        <fgColor rgb="002E5496"/>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0" applyAlignment="1" pivotButton="0" quotePrefix="0" xfId="0">
      <alignment horizontal="center" vertical="center" wrapText="1"/>
    </xf>
    <xf numFmtId="0" fontId="9" fillId="3" borderId="1" applyAlignment="1" pivotButton="0" quotePrefix="0" xfId="0">
      <alignment horizontal="center" vertical="center" wrapText="1"/>
    </xf>
    <xf numFmtId="0" fontId="9" fillId="3" borderId="1" applyAlignment="1" pivotButton="0" quotePrefix="0" xfId="0">
      <alignment vertical="top" wrapText="1"/>
    </xf>
    <xf numFmtId="0" fontId="10" fillId="3" borderId="1" applyAlignment="1" pivotButton="0" quotePrefix="0" xfId="0">
      <alignment vertical="top" wrapText="1"/>
    </xf>
    <xf numFmtId="0" fontId="9" fillId="4" borderId="1" applyAlignment="1" pivotButton="0" quotePrefix="0" xfId="0">
      <alignment horizontal="center" vertical="center" wrapText="1"/>
    </xf>
    <xf numFmtId="0" fontId="9" fillId="4" borderId="1" applyAlignment="1" pivotButton="0" quotePrefix="0" xfId="0">
      <alignment vertical="top" wrapText="1"/>
    </xf>
    <xf numFmtId="0" fontId="10" fillId="4" borderId="1" applyAlignment="1" pivotButton="0" quotePrefix="0" xfId="0">
      <alignment vertical="top" wrapText="1"/>
    </xf>
    <xf numFmtId="0" fontId="11" fillId="0" borderId="0" applyAlignment="1" pivotButton="0" quotePrefix="0" xfId="0">
      <alignment horizontal="left" vertical="top"/>
    </xf>
    <xf numFmtId="0" fontId="7" fillId="0" borderId="0" applyAlignment="1" pivotButton="0" quotePrefix="0" xfId="0">
      <alignment horizontal="left" vertical="top"/>
    </xf>
    <xf numFmtId="0" fontId="12" fillId="0" borderId="0" applyAlignment="1" pivotButton="0" quotePrefix="0" xfId="0">
      <alignment horizontal="left" vertical="top"/>
    </xf>
    <xf numFmtId="0" fontId="13" fillId="5" borderId="0" applyAlignment="1" pivotButton="0" quotePrefix="0" xfId="0">
      <alignment horizontal="center" vertical="center"/>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7" borderId="1" applyAlignment="1" pivotButton="0" quotePrefix="0" xfId="0">
      <alignment horizontal="center" vertical="center" wrapText="1"/>
    </xf>
    <xf numFmtId="0" fontId="15" fillId="6" borderId="1" applyAlignment="1" pivotButton="0" quotePrefix="0" xfId="0">
      <alignment horizontal="center" vertical="center" wrapText="1"/>
    </xf>
    <xf numFmtId="0" fontId="14"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9" borderId="1" applyAlignment="1" pivotButton="0" quotePrefix="0" xfId="0">
      <alignment horizontal="center" vertical="center" wrapText="1"/>
    </xf>
    <xf numFmtId="0" fontId="13" fillId="5" borderId="0" applyAlignment="1" pivotButton="0" quotePrefix="0" xfId="0">
      <alignment horizontal="center" vertical="top"/>
    </xf>
    <xf numFmtId="0" fontId="12" fillId="0" borderId="0" applyAlignment="1" pivotButton="0" quotePrefix="0" xfId="0">
      <alignment horizontal="right" vertical="top"/>
    </xf>
    <xf numFmtId="0" fontId="16" fillId="0" borderId="0" applyAlignment="1" pivotButton="0" quotePrefix="0" xfId="0">
      <alignment horizontal="left" vertical="top"/>
    </xf>
    <xf numFmtId="0" fontId="6" fillId="6" borderId="0" applyAlignment="1" pivotButton="0" quotePrefix="0" xfId="0">
      <alignment horizontal="left" vertical="top"/>
    </xf>
    <xf numFmtId="0" fontId="6" fillId="7" borderId="0" applyAlignment="1" pivotButton="0" quotePrefix="0" xfId="0">
      <alignment horizontal="left" vertical="top"/>
    </xf>
    <xf numFmtId="0" fontId="6" fillId="8" borderId="0" applyAlignment="1" pivotButton="0" quotePrefix="0" xfId="0">
      <alignment horizontal="left" vertical="top"/>
    </xf>
    <xf numFmtId="0" fontId="6" fillId="9" borderId="0" applyAlignment="1" pivotButton="0" quotePrefix="0" xfId="0">
      <alignment horizontal="left" vertical="top"/>
    </xf>
    <xf numFmtId="0" fontId="17" fillId="2" borderId="0" applyAlignment="1" pivotButton="0" quotePrefix="0" xfId="0">
      <alignment horizontal="center" wrapText="1"/>
    </xf>
    <xf numFmtId="0" fontId="9" fillId="0" borderId="1" applyAlignment="1" pivotButton="0" quotePrefix="0" xfId="0">
      <alignment horizontal="center"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a.wikipedia.org/wiki/&#12497;&#12521;&#12469;&#12452;&#12488;&#12471;&#12531;&#12464;&#12523;" TargetMode="External" Id="rId1"/><Relationship Type="http://schemas.openxmlformats.org/officeDocument/2006/relationships/hyperlink" Target="https://ja.wikipedia.org/wiki/&#12491;&#12540;&#12488;" TargetMode="External" Id="rId2"/><Relationship Type="http://schemas.openxmlformats.org/officeDocument/2006/relationships/hyperlink" Target="https://www.cfa.go.jp/resources/research/chilren-attitudes" TargetMode="External" Id="rId3"/><Relationship Type="http://schemas.openxmlformats.org/officeDocument/2006/relationships/hyperlink" Target="https://warp.ndl.go.jp/web/20230703141614/www8.cao.go.jp/youth/kenkyu/life/h30/pdf-index.html" TargetMode="External" Id="rId4"/><Relationship Type="http://schemas.openxmlformats.org/officeDocument/2006/relationships/hyperlink" Target="https://en.wikipedia.org/wiki/FIRE_movement" TargetMode="External" Id="rId5"/><Relationship Type="http://schemas.openxmlformats.org/officeDocument/2006/relationships/hyperlink" Target="https://en.wikipedia.org/wiki/Basic_income" TargetMode="External" Id="rId6"/><Relationship Type="http://schemas.openxmlformats.org/officeDocument/2006/relationships/hyperlink" Target="https://www.works-i.com/" TargetMode="External" Id="rId7"/><Relationship Type="http://schemas.openxmlformats.org/officeDocument/2006/relationships/hyperlink" Target="https://en.wikipedia.org/wiki/Gig_worker" TargetMode="External" Id="rId8"/><Relationship Type="http://schemas.openxmlformats.org/officeDocument/2006/relationships/hyperlink" Target="https://en.wikipedia.org/wiki/Filter_bubble" TargetMode="External" Id="rId9"/><Relationship Type="http://schemas.openxmlformats.org/officeDocument/2006/relationships/hyperlink" Target="https://www.humanetech.com/" TargetMode="External" Id="rId10"/><Relationship Type="http://schemas.openxmlformats.org/officeDocument/2006/relationships/hyperlink" Target="https://en.wikipedia.org/wiki/The_Age_of_Access" TargetMode="External" Id="rId11"/><Relationship Type="http://schemas.openxmlformats.org/officeDocument/2006/relationships/hyperlink" Target="https://en.wikipedia.org/wiki/The_Shallows_(book)" TargetMode="External" Id="rId12"/><Relationship Type="http://schemas.openxmlformats.org/officeDocument/2006/relationships/hyperlink" Target="https://en.wikipedia.org/wiki/Edward_Castronova" TargetMode="External" Id="rId13"/><Relationship Type="http://schemas.openxmlformats.org/officeDocument/2006/relationships/hyperlink" Target="https://www.meti.go.jp/policy/it_policy/statistics/outlook/ie_outlook.html" TargetMode="External" Id="rId14"/><Relationship Type="http://schemas.openxmlformats.org/officeDocument/2006/relationships/hyperlink" Target="https://www.soumu.go.jp/senkyo/senkyo_s/news/sonota/ritu/" TargetMode="External" Id="rId15"/><Relationship Type="http://schemas.openxmlformats.org/officeDocument/2006/relationships/hyperlink" Target="https://doi.org/10.1080/01944366908977225" TargetMode="External" Id="rId16"/><Relationship Type="http://schemas.openxmlformats.org/officeDocument/2006/relationships/hyperlink" Target="https://en.wikipedia.org/wiki/New_public_management" TargetMode="External" Id="rId17"/><Relationship Type="http://schemas.openxmlformats.org/officeDocument/2006/relationships/hyperlink" Target="https://en.wikipedia.org/wiki/NIMBY" TargetMode="External" Id="rId18"/><Relationship Type="http://schemas.openxmlformats.org/officeDocument/2006/relationships/hyperlink" Target="https://en.wikipedia.org/wiki/Learned_helplessness" TargetMode="External" Id="rId19"/><Relationship Type="http://schemas.openxmlformats.org/officeDocument/2006/relationships/hyperlink" Target="https://en.wikipedia.org/wiki/Asch_conformity_experiments" TargetMode="External" Id="rId20"/><Relationship Type="http://schemas.openxmlformats.org/officeDocument/2006/relationships/hyperlink" Target="https://en.wikipedia.org/wiki/Escape_from_Freedom" TargetMode="External" Id="rId21"/><Relationship Type="http://schemas.openxmlformats.org/officeDocument/2006/relationships/hyperlink" Target="https://www.mhlw.go.jp/toukei/list/74-16.html" TargetMode="External" Id="rId22"/><Relationship Type="http://schemas.openxmlformats.org/officeDocument/2006/relationships/hyperlink" Target="https://en.wikipedia.org/wiki/Medical_Nemesis" TargetMode="External" Id="rId23"/><Relationship Type="http://schemas.openxmlformats.org/officeDocument/2006/relationships/hyperlink" Target="https://en.wikipedia.org/wiki/Elderly_care" TargetMode="External" Id="rId24"/><Relationship Type="http://schemas.openxmlformats.org/officeDocument/2006/relationships/hyperlink" Target="https://en.wikipedia.org/wiki/The_Coddling_of_the_American_Mind" TargetMode="External" Id="rId25"/><Relationship Type="http://schemas.openxmlformats.org/officeDocument/2006/relationships/hyperlink" Target="https://en.wikipedia.org/wiki/Yerkes%E2%80%93Dodson_law" TargetMode="External" Id="rId26"/><Relationship Type="http://schemas.openxmlformats.org/officeDocument/2006/relationships/hyperlink" Target="https://en.wikipedia.org/wiki/Risk_aversion" TargetMode="External" Id="rId27"/><Relationship Type="http://schemas.openxmlformats.org/officeDocument/2006/relationships/hyperlink" Target="https://en.wikipedia.org/wiki/Ego_depletion" TargetMode="External" Id="rId28"/><Relationship Type="http://schemas.openxmlformats.org/officeDocument/2006/relationships/hyperlink" Target="https://en.wikipedia.org/wiki/Just-world_hypothesis" TargetMode="External" Id="rId29"/><Relationship Type="http://schemas.openxmlformats.org/officeDocument/2006/relationships/hyperlink" Target="https://en.wikipedia.org/wiki/Parasocial_interaction" TargetMode="External" Id="rId30"/><Relationship Type="http://schemas.openxmlformats.org/officeDocument/2006/relationships/hyperlink" Target="https://ja.wikipedia.org/wiki/&#12511;&#12491;&#12510;&#12522;&#12473;&#12488;" TargetMode="External" Id="rId31"/><Relationship Type="http://schemas.openxmlformats.org/officeDocument/2006/relationships/hyperlink" Target="https://www.who.int/publications/i/item/9789240015128" TargetMode="External" Id="rId32"/><Relationship Type="http://schemas.openxmlformats.org/officeDocument/2006/relationships/hyperlink" Target="https://en.wikipedia.org/wiki/Ultra-processed_food" TargetMode="External" Id="rId33"/><Relationship Type="http://schemas.openxmlformats.org/officeDocument/2006/relationships/hyperlink" Target="https://en.wikipedia.org/wiki/Quantified_self" TargetMode="External" Id="rId34"/><Relationship Type="http://schemas.openxmlformats.org/officeDocument/2006/relationships/hyperlink" Target="https://en.wikipedia.org/wiki/Minister_for_Loneliness" TargetMode="External" Id="rId35"/><Relationship Type="http://schemas.openxmlformats.org/officeDocument/2006/relationships/hyperlink" Target="https://en.wikipedia.org/wiki/Unpaid_work" TargetMode="External" Id="rId36"/><Relationship Type="http://schemas.openxmlformats.org/officeDocument/2006/relationships/hyperlink" Target="https://en.wikipedia.org/wiki/The_Age_of_Surveillance_Capitalism" TargetMode="External" Id="rId37"/><Relationship Type="http://schemas.openxmlformats.org/officeDocument/2006/relationships/hyperlink" Target="https://en.wikipedia.org/wiki/Nudge_(book)" TargetMode="External" Id="rId38"/><Relationship Type="http://schemas.openxmlformats.org/officeDocument/2006/relationships/hyperlink" Target="https://en.wikipedia.org/wiki/Brave_New_World" TargetMode="External" Id="rId39"/><Relationship Type="http://schemas.openxmlformats.org/officeDocument/2006/relationships/hyperlink" Target="https://en.wikipedia.org/wiki/Self-domestication" TargetMode="External" Id="rId40"/><Relationship Type="http://schemas.openxmlformats.org/officeDocument/2006/relationships/hyperlink" Target="https://en.wikipedia.org/wiki/Post-work_society" TargetMode="External" Id="rId41"/><Relationship Type="http://schemas.openxmlformats.org/officeDocument/2006/relationships/hyperlink" Target="https://en.wikipedia.org/wiki/Transhumanism" TargetMode="External" Id="rId42"/><Relationship Type="http://schemas.openxmlformats.org/officeDocument/2006/relationships/hyperlink" Target="https://www.meti.go.jp/policy/mono_info_service/healthcare/" TargetMode="External" Id="rId43"/><Relationship Type="http://schemas.openxmlformats.org/officeDocument/2006/relationships/hyperlink" Target="https://www8.cao.go.jp/kourei/whitepaper/index-w.html" TargetMode="External" Id="rId44"/><Relationship Type="http://schemas.openxmlformats.org/officeDocument/2006/relationships/hyperlink" Target="https://en.wikipedia.org/wiki/The_Attention_Merchants" TargetMode="External" Id="rId45"/><Relationship Type="http://schemas.openxmlformats.org/officeDocument/2006/relationships/hyperlink" Target="https://doi.org/10.1177/1529100612436522" TargetMode="External" Id="rId46"/></Relationships>
</file>

<file path=xl/worksheets/_rels/sheet4.xml.rels><Relationships xmlns="http://schemas.openxmlformats.org/package/2006/relationships"><Relationship Type="http://schemas.openxmlformats.org/officeDocument/2006/relationships/hyperlink" Target="https://ja.wikipedia.org/wiki/&#12497;&#12521;&#12469;&#12452;&#12488;&#12471;&#12531;&#12464;&#12523;" TargetMode="External" Id="rId1"/><Relationship Type="http://schemas.openxmlformats.org/officeDocument/2006/relationships/hyperlink" Target="https://ja.wikipedia.org/wiki/&#12491;&#12540;&#12488;" TargetMode="External" Id="rId2"/><Relationship Type="http://schemas.openxmlformats.org/officeDocument/2006/relationships/hyperlink" Target="https://www.cfa.go.jp/resources/research/chilren-attitudes" TargetMode="External" Id="rId3"/><Relationship Type="http://schemas.openxmlformats.org/officeDocument/2006/relationships/hyperlink" Target="https://warp.ndl.go.jp/web/20230703141614/www8.cao.go.jp/youth/kenkyu/life/h30/pdf-index.html" TargetMode="External" Id="rId4"/><Relationship Type="http://schemas.openxmlformats.org/officeDocument/2006/relationships/hyperlink" Target="https://en.wikipedia.org/wiki/FIRE_movement" TargetMode="External" Id="rId5"/><Relationship Type="http://schemas.openxmlformats.org/officeDocument/2006/relationships/hyperlink" Target="https://en.wikipedia.org/wiki/Basic_income" TargetMode="External" Id="rId6"/><Relationship Type="http://schemas.openxmlformats.org/officeDocument/2006/relationships/hyperlink" Target="https://www.works-i.com/" TargetMode="External" Id="rId7"/><Relationship Type="http://schemas.openxmlformats.org/officeDocument/2006/relationships/hyperlink" Target="https://en.wikipedia.org/wiki/Gig_worker" TargetMode="External" Id="rId8"/><Relationship Type="http://schemas.openxmlformats.org/officeDocument/2006/relationships/hyperlink" Target="https://en.wikipedia.org/wiki/Filter_bubble" TargetMode="External" Id="rId9"/><Relationship Type="http://schemas.openxmlformats.org/officeDocument/2006/relationships/hyperlink" Target="https://www.humanetech.com/" TargetMode="External" Id="rId10"/><Relationship Type="http://schemas.openxmlformats.org/officeDocument/2006/relationships/hyperlink" Target="https://en.wikipedia.org/wiki/The_Age_of_Access" TargetMode="External" Id="rId11"/><Relationship Type="http://schemas.openxmlformats.org/officeDocument/2006/relationships/hyperlink" Target="https://en.wikipedia.org/wiki/The_Shallows_(book)" TargetMode="External" Id="rId12"/><Relationship Type="http://schemas.openxmlformats.org/officeDocument/2006/relationships/hyperlink" Target="https://en.wikipedia.org/wiki/Edward_Castronova" TargetMode="External" Id="rId13"/><Relationship Type="http://schemas.openxmlformats.org/officeDocument/2006/relationships/hyperlink" Target="https://www.meti.go.jp/policy/it_policy/statistics/outlook/ie_outlook.html" TargetMode="External" Id="rId14"/><Relationship Type="http://schemas.openxmlformats.org/officeDocument/2006/relationships/hyperlink" Target="https://www.soumu.go.jp/senkyo/senkyo_s/news/sonota/ritu/" TargetMode="External" Id="rId15"/><Relationship Type="http://schemas.openxmlformats.org/officeDocument/2006/relationships/hyperlink" Target="https://doi.org/10.1080/01944366908977225" TargetMode="External" Id="rId16"/><Relationship Type="http://schemas.openxmlformats.org/officeDocument/2006/relationships/hyperlink" Target="https://en.wikipedia.org/wiki/New_public_management" TargetMode="External" Id="rId17"/><Relationship Type="http://schemas.openxmlformats.org/officeDocument/2006/relationships/hyperlink" Target="https://en.wikipedia.org/wiki/NIMBY" TargetMode="External" Id="rId18"/><Relationship Type="http://schemas.openxmlformats.org/officeDocument/2006/relationships/hyperlink" Target="https://en.wikipedia.org/wiki/Learned_helplessness" TargetMode="External" Id="rId19"/><Relationship Type="http://schemas.openxmlformats.org/officeDocument/2006/relationships/hyperlink" Target="https://en.wikipedia.org/wiki/Asch_conformity_experiments" TargetMode="External" Id="rId20"/><Relationship Type="http://schemas.openxmlformats.org/officeDocument/2006/relationships/hyperlink" Target="https://en.wikipedia.org/wiki/Escape_from_Freedom" TargetMode="External" Id="rId21"/><Relationship Type="http://schemas.openxmlformats.org/officeDocument/2006/relationships/hyperlink" Target="https://www.mhlw.go.jp/toukei/list/74-16.html" TargetMode="External" Id="rId22"/><Relationship Type="http://schemas.openxmlformats.org/officeDocument/2006/relationships/hyperlink" Target="https://en.wikipedia.org/wiki/Medical_Nemesis" TargetMode="External" Id="rId23"/><Relationship Type="http://schemas.openxmlformats.org/officeDocument/2006/relationships/hyperlink" Target="https://en.wikipedia.org/wiki/Elderly_care" TargetMode="External" Id="rId24"/><Relationship Type="http://schemas.openxmlformats.org/officeDocument/2006/relationships/hyperlink" Target="https://en.wikipedia.org/wiki/The_Coddling_of_the_American_Mind" TargetMode="External" Id="rId25"/><Relationship Type="http://schemas.openxmlformats.org/officeDocument/2006/relationships/hyperlink" Target="https://en.wikipedia.org/wiki/Yerkes%E2%80%93Dodson_law" TargetMode="External" Id="rId26"/><Relationship Type="http://schemas.openxmlformats.org/officeDocument/2006/relationships/hyperlink" Target="https://en.wikipedia.org/wiki/Risk_aversion" TargetMode="External" Id="rId27"/><Relationship Type="http://schemas.openxmlformats.org/officeDocument/2006/relationships/hyperlink" Target="https://en.wikipedia.org/wiki/Ego_depletion" TargetMode="External" Id="rId28"/><Relationship Type="http://schemas.openxmlformats.org/officeDocument/2006/relationships/hyperlink" Target="https://en.wikipedia.org/wiki/Just-world_hypothesis" TargetMode="External" Id="rId29"/><Relationship Type="http://schemas.openxmlformats.org/officeDocument/2006/relationships/hyperlink" Target="https://en.wikipedia.org/wiki/Parasocial_interaction" TargetMode="External" Id="rId30"/><Relationship Type="http://schemas.openxmlformats.org/officeDocument/2006/relationships/hyperlink" Target="https://ja.wikipedia.org/wiki/&#12511;&#12491;&#12510;&#12522;&#12473;&#12488;" TargetMode="External" Id="rId31"/><Relationship Type="http://schemas.openxmlformats.org/officeDocument/2006/relationships/hyperlink" Target="https://www.who.int/publications/i/item/9789240015128" TargetMode="External" Id="rId32"/><Relationship Type="http://schemas.openxmlformats.org/officeDocument/2006/relationships/hyperlink" Target="https://en.wikipedia.org/wiki/Ultra-processed_food" TargetMode="External" Id="rId33"/><Relationship Type="http://schemas.openxmlformats.org/officeDocument/2006/relationships/hyperlink" Target="https://en.wikipedia.org/wiki/Quantified_self" TargetMode="External" Id="rId34"/><Relationship Type="http://schemas.openxmlformats.org/officeDocument/2006/relationships/hyperlink" Target="https://en.wikipedia.org/wiki/Minister_for_Loneliness" TargetMode="External" Id="rId35"/><Relationship Type="http://schemas.openxmlformats.org/officeDocument/2006/relationships/hyperlink" Target="https://en.wikipedia.org/wiki/Unpaid_work" TargetMode="External" Id="rId36"/><Relationship Type="http://schemas.openxmlformats.org/officeDocument/2006/relationships/hyperlink" Target="https://en.wikipedia.org/wiki/The_Age_of_Surveillance_Capitalism" TargetMode="External" Id="rId37"/><Relationship Type="http://schemas.openxmlformats.org/officeDocument/2006/relationships/hyperlink" Target="https://en.wikipedia.org/wiki/Nudge_(book)" TargetMode="External" Id="rId38"/><Relationship Type="http://schemas.openxmlformats.org/officeDocument/2006/relationships/hyperlink" Target="https://en.wikipedia.org/wiki/Brave_New_World" TargetMode="External" Id="rId39"/><Relationship Type="http://schemas.openxmlformats.org/officeDocument/2006/relationships/hyperlink" Target="https://en.wikipedia.org/wiki/Self-domestication" TargetMode="External" Id="rId40"/><Relationship Type="http://schemas.openxmlformats.org/officeDocument/2006/relationships/hyperlink" Target="https://en.wikipedia.org/wiki/Post-work_society" TargetMode="External" Id="rId41"/><Relationship Type="http://schemas.openxmlformats.org/officeDocument/2006/relationships/hyperlink" Target="https://en.wikipedia.org/wiki/Transhumanism" TargetMode="External" Id="rId42"/><Relationship Type="http://schemas.openxmlformats.org/officeDocument/2006/relationships/hyperlink" Target="https://www.meti.go.jp/policy/mono_info_service/healthcare/" TargetMode="External" Id="rId43"/><Relationship Type="http://schemas.openxmlformats.org/officeDocument/2006/relationships/hyperlink" Target="https://www8.cao.go.jp/kourei/whitepaper/index-w.html" TargetMode="External" Id="rId44"/><Relationship Type="http://schemas.openxmlformats.org/officeDocument/2006/relationships/hyperlink" Target="https://en.wikipedia.org/wiki/The_Attention_Merchants" TargetMode="External" Id="rId45"/><Relationship Type="http://schemas.openxmlformats.org/officeDocument/2006/relationships/hyperlink" Target="https://doi.org/10.1177/1529100612436522" TargetMode="External" Id="rId46"/></Relationships>
</file>

<file path=xl/worksheets/_rels/sheet5.xml.rels><Relationships xmlns="http://schemas.openxmlformats.org/package/2006/relationships"><Relationship Type="http://schemas.openxmlformats.org/officeDocument/2006/relationships/hyperlink" Target="https://www.cfa.go.jp/resources/research/chilren-attitudes" TargetMode="External" Id="rId1"/><Relationship Type="http://schemas.openxmlformats.org/officeDocument/2006/relationships/hyperlink" Target="https://www.cfa.go.jp/assets/contents/node/basic_page/field_ref_resources/85674a4c-22e0-4483-a7fb-83319b266439/7c1f54a1/20250305-resources-research-chilren-attitudes_04.pdf" TargetMode="External" Id="rId2"/><Relationship Type="http://schemas.openxmlformats.org/officeDocument/2006/relationships/hyperlink" Target="https://www.cfa.go.jp/assets/contents/node/basic_page/field_ref_resources/85674a4c-22e0-4483-a7fb-83319b266439/1dc068e8/20250305-resources-research-chilren-attitudes_05.pdf" TargetMode="External" Id="rId3"/><Relationship Type="http://schemas.openxmlformats.org/officeDocument/2006/relationships/hyperlink" Target="https://www.cfa.go.jp/assets/contents/node/basic_page/field_ref_resources/85674a4c-22e0-4483-a7fb-83319b266439/10a07986/20250305-resources-research-chilren-attitudes_02.pdf" TargetMode="External" Id="rId4"/><Relationship Type="http://schemas.openxmlformats.org/officeDocument/2006/relationships/hyperlink" Target="https://warp.ndl.go.jp/web/20230703141614/www8.cao.go.jp/youth/kenkyu/life/h30/pdf-index.html" TargetMode="External" Id="rId5"/><Relationship Type="http://schemas.openxmlformats.org/officeDocument/2006/relationships/hyperlink" Target="https://www.meti.go.jp/policy/it_policy/statistics/outlook/250826_houkokusho.pdf" TargetMode="External" Id="rId6"/><Relationship Type="http://schemas.openxmlformats.org/officeDocument/2006/relationships/hyperlink" Target="https://www.meti.go.jp/policy/it_policy/statistics/outlook/250826_kohyoshiryo.pdf" TargetMode="External" Id="rId7"/><Relationship Type="http://schemas.openxmlformats.org/officeDocument/2006/relationships/hyperlink" Target="https://www.meti.go.jp/policy/it_policy/statistics/outlook/ie_outlook.html" TargetMode="External" Id="rId8"/><Relationship Type="http://schemas.openxmlformats.org/officeDocument/2006/relationships/hyperlink" Target="https://www.soumu.go.jp/main_content/000255919.pdf" TargetMode="External" Id="rId9"/><Relationship Type="http://schemas.openxmlformats.org/officeDocument/2006/relationships/hyperlink" Target="https://www.soumu.go.jp/senkyo/senkyo_s/news/sonota/ritu/" TargetMode="External" Id="rId10"/><Relationship Type="http://schemas.openxmlformats.org/officeDocument/2006/relationships/hyperlink" Target="https://www.mhlw.go.jp/toukei/list/74-16b.html" TargetMode="External" Id="rId11"/><Relationship Type="http://schemas.openxmlformats.org/officeDocument/2006/relationships/hyperlink" Target="https://www.e-stat.go.jp/stat-search/files?toukei=00450312" TargetMode="External" Id="rId12"/><Relationship Type="http://schemas.openxmlformats.org/officeDocument/2006/relationships/hyperlink" Target="https://www8.cao.go.jp/kourei/whitepaper/w-2026/zenbun/08pdf_index.html" TargetMode="External" Id="rId13"/><Relationship Type="http://schemas.openxmlformats.org/officeDocument/2006/relationships/hyperlink" Target="https://www8.cao.go.jp/kourei/whitepaper/index-w.html" TargetMode="External" Id="rId14"/></Relationships>
</file>

<file path=xl/worksheets/sheet1.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家猫になりそうな人間の分類 ── 46タイプ図鑑（改善策・副作用つき）</t>
        </is>
      </c>
    </row>
    <row r="2">
      <c r="A2" s="2" t="inlineStr">
        <is>
          <t>社会論・文明論の視点／実在の学者・行政・研究機関の出典つき／猫メタファーで解決策を提示</t>
        </is>
      </c>
    </row>
    <row r="4">
      <c r="A4" s="3" t="inlineStr">
        <is>
          <t>■ コンセプト</t>
        </is>
      </c>
    </row>
    <row r="5">
      <c r="A5" s="4" t="inlineStr">
        <is>
          <t>「家猫」とは、誰かに餌(生活基盤)と安全(快適な環境)を与えられる代わりに、自ら狩る力=自律性を手放した存在のメタファー。現代人が何かに『飼われ』自律を手放す傾向を分類し、学術・行政の概念を根拠に、各タイプへ『またたび策(改善策)』と『副作用』、そして猫メタファー(猫ネーム／チュール=解決の糸口／キャットタワー=好む環境)を付した。</t>
        </is>
      </c>
    </row>
    <row r="6"/>
    <row r="7"/>
    <row r="8"/>
    <row r="9"/>
    <row r="11">
      <c r="A11" s="3" t="inlineStr">
        <is>
          <t>■ 列の見方(猫メタファー)</t>
        </is>
      </c>
    </row>
    <row r="12">
      <c r="A12" s="5" t="inlineStr">
        <is>
          <t>猫ネーム(◯◯系猫)</t>
        </is>
      </c>
      <c r="C12" s="6" t="inlineStr">
        <is>
          <t>タイプを親しみやすい猫名で表現</t>
        </is>
      </c>
    </row>
    <row r="13">
      <c r="A13" s="5" t="inlineStr">
        <is>
          <t>チュール(解決の糸口)</t>
        </is>
      </c>
      <c r="C13" s="6" t="inlineStr">
        <is>
          <t>この猫を動かす『ごほうび』=最も効く一押し</t>
        </is>
      </c>
    </row>
    <row r="14">
      <c r="A14" s="5" t="inlineStr">
        <is>
          <t>キャットタワー(好む環境)</t>
        </is>
      </c>
      <c r="C14" s="6" t="inlineStr">
        <is>
          <t>この猫が安心して動ける環境・場の条件</t>
        </is>
      </c>
    </row>
    <row r="15">
      <c r="A15" s="5" t="inlineStr">
        <is>
          <t>改善策(約200字)</t>
        </is>
      </c>
      <c r="C15" s="6" t="inlineStr">
        <is>
          <t>具体的な『またたび策』。手順と期待効果</t>
        </is>
      </c>
    </row>
    <row r="16">
      <c r="A16" s="5" t="inlineStr">
        <is>
          <t>副作用・リスク・対策</t>
        </is>
      </c>
      <c r="C16" s="6" t="inlineStr">
        <is>
          <t>改善策の副作用と、その緩和策</t>
        </is>
      </c>
    </row>
    <row r="18">
      <c r="A18" s="3" t="inlineStr">
        <is>
          <t>■ 2軸マッピングの定義</t>
        </is>
      </c>
    </row>
    <row r="19">
      <c r="A19" s="4" t="inlineStr">
        <is>
          <t>横軸 X(飼い主は誰か): 1=公的システム(国家・行政・福祉) ←→ 10=私的システム(市場・プラットフォーム・家族)</t>
        </is>
      </c>
    </row>
    <row r="20">
      <c r="A20" s="4" t="inlineStr">
        <is>
          <t>縦軸 Y(家猫度=自律の喪失と無自覚さ): 1=半野良(部分依存・自覚と葛藤あり) ←→ 10=純血種家猫(全面依存・無自覚・快適固着)</t>
        </is>
      </c>
    </row>
    <row r="22">
      <c r="A22" s="3" t="inlineStr">
        <is>
          <t>■ 改訂メモ</t>
        </is>
      </c>
    </row>
    <row r="23">
      <c r="A23" s="7" t="inlineStr">
        <is>
          <t>・前版の50タイプから、類似する4組をマージし46タイプに整理(親密圏依存→パラサイト/クレーマー→お客様型市民/室内運動不足→座りっぱなし/ドゥームスクロール→アテンション中毒)。・各タイプに『改善策(約200字)』『副作用・リスク・対策』『チュール』『キャットタワー』『猫ネーム』を追加。・各出典に『引用元URL』を追加(出典一覧シート・一覧シート)。政府/国際機関/DOIの一次資料は所在確認済み、書籍・概念はWikipedia/DOI/公式の恒久リンク。・出典は社会論・文明論で定番の学術・行政文献。推計値(ひきこもり等)は公表時点で最新値は要再確認。X/Y座標は典型像に基づく相対評価。</t>
        </is>
      </c>
    </row>
    <row r="24"/>
    <row r="25"/>
    <row r="26"/>
    <row r="27"/>
    <row r="28"/>
    <row r="29"/>
  </sheetData>
  <mergeCells count="14">
    <mergeCell ref="C12:J12"/>
    <mergeCell ref="A16:B16"/>
    <mergeCell ref="A15:B15"/>
    <mergeCell ref="C15:J15"/>
    <mergeCell ref="A5:J9"/>
    <mergeCell ref="C16:J16"/>
    <mergeCell ref="A13:B13"/>
    <mergeCell ref="A14:B14"/>
    <mergeCell ref="C14:J14"/>
    <mergeCell ref="A20:J20"/>
    <mergeCell ref="C13:J13"/>
    <mergeCell ref="A23:J29"/>
    <mergeCell ref="A19:J19"/>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24" customWidth="1" min="3" max="3"/>
    <col width="16" customWidth="1" min="4" max="4"/>
    <col width="22" customWidth="1" min="5" max="5"/>
    <col width="34" customWidth="1" min="6" max="6"/>
    <col width="34" customWidth="1" min="7" max="7"/>
    <col width="34" customWidth="1" min="8" max="8"/>
    <col width="12" customWidth="1" min="9" max="9"/>
    <col width="30" customWidth="1" min="10" max="10"/>
    <col width="9" customWidth="1" min="11" max="11"/>
    <col width="9" customWidth="1" min="12" max="12"/>
    <col width="18" customWidth="1" min="13" max="13"/>
    <col width="30" customWidth="1" min="14" max="14"/>
    <col width="30" customWidth="1" min="15" max="15"/>
    <col width="52" customWidth="1" min="16" max="16"/>
    <col width="40" customWidth="1" min="17" max="17"/>
  </cols>
  <sheetData>
    <row r="1" ht="44" customHeight="1">
      <c r="A1" s="8" t="inlineStr">
        <is>
          <t>No.</t>
        </is>
      </c>
      <c r="B1" s="8" t="inlineStr">
        <is>
          <t>クラスタ</t>
        </is>
      </c>
      <c r="C1" s="8" t="inlineStr">
        <is>
          <t>タイプ名(パターン名)</t>
        </is>
      </c>
      <c r="D1" s="8" t="inlineStr">
        <is>
          <t>猫ネーム</t>
        </is>
      </c>
      <c r="E1" s="8" t="inlineStr">
        <is>
          <t>ひとことキャッチ</t>
        </is>
      </c>
      <c r="F1" s="8" t="inlineStr">
        <is>
          <t>特徴・行動パターン</t>
        </is>
      </c>
      <c r="G1" s="8" t="inlineStr">
        <is>
          <t>「家猫化」のポイント</t>
        </is>
      </c>
      <c r="H1" s="8" t="inlineStr">
        <is>
          <t>根拠・出典</t>
        </is>
      </c>
      <c r="I1" s="8" t="inlineStr">
        <is>
          <t>出典区分</t>
        </is>
      </c>
      <c r="J1" s="8" t="inlineStr">
        <is>
          <t>引用元URL</t>
        </is>
      </c>
      <c r="K1" s="8" t="inlineStr">
        <is>
          <t>X:飼い主
1公的⇔10私的</t>
        </is>
      </c>
      <c r="L1" s="8" t="inlineStr">
        <is>
          <t>Y:家猫度
1半野良⇔10純家猫</t>
        </is>
      </c>
      <c r="M1" s="8" t="inlineStr">
        <is>
          <t>象限</t>
        </is>
      </c>
      <c r="N1" s="8" t="inlineStr">
        <is>
          <t>チュール(解決の糸口)</t>
        </is>
      </c>
      <c r="O1" s="8" t="inlineStr">
        <is>
          <t>キャットタワー(好む環境)</t>
        </is>
      </c>
      <c r="P1" s="8" t="inlineStr">
        <is>
          <t>改善策(またたび策・約200字)</t>
        </is>
      </c>
      <c r="Q1" s="8" t="inlineStr">
        <is>
          <t>副作用・リスク・対策</t>
        </is>
      </c>
    </row>
    <row r="2">
      <c r="A2" s="9" t="n">
        <v>1</v>
      </c>
      <c r="B2" s="10" t="inlineStr">
        <is>
          <t>経済・労働</t>
        </is>
      </c>
      <c r="C2" s="10" t="inlineStr">
        <is>
          <t>パラサイト・シングル(親密圏依存)</t>
        </is>
      </c>
      <c r="D2" s="10" t="inlineStr">
        <is>
          <t>独り立ち準備中</t>
        </is>
      </c>
      <c r="E2" s="10" t="inlineStr">
        <is>
          <t>親元で快適、自立を先送り</t>
        </is>
      </c>
      <c r="F2" s="10" t="inlineStr">
        <is>
          <t>成人後も親の家・家計に同居し生活コストを負担せず、意思決定も親に委ねがち</t>
        </is>
      </c>
      <c r="G2" s="10" t="inlineStr">
        <is>
          <t>飼い主=親/家庭。生活費と自己決定という自立の負荷を手放す</t>
        </is>
      </c>
      <c r="H2" s="10" t="inlineStr">
        <is>
          <t>山田昌弘『パラサイト・シングルの時代』(1999)/J.Bowlby 愛着理論</t>
        </is>
      </c>
      <c r="I2" s="9" t="inlineStr">
        <is>
          <t>学者</t>
        </is>
      </c>
      <c r="J2" s="11" t="inlineStr">
        <is>
          <t>https://ja.wikipedia.org/wiki/パラサイトシングル</t>
        </is>
      </c>
      <c r="K2" s="9" t="n">
        <v>8</v>
      </c>
      <c r="L2" s="9" t="n">
        <v>7</v>
      </c>
      <c r="M2" s="9">
        <f>IF(AND(K2&lt;=5,L2&gt;=6),"公営の檻",IF(AND(K2&gt;=6,L2&gt;=6),"ハイテク室内飼い",IF(AND(K2&lt;=5,L2&lt;=5),"半野良(公)","半野良(私)")))</f>
        <v/>
      </c>
      <c r="N2" s="10" t="inlineStr">
        <is>
          <t>「自分の城を持つ快感」を見せる(家事・家計の一部移譲で小さな自立成功体験)</t>
        </is>
      </c>
      <c r="O2" s="10" t="inlineStr">
        <is>
          <t>安心できる実家的環境を残しつつ半歩外に出られる中間的住まい(シェアハウス等)</t>
        </is>
      </c>
      <c r="P2" s="10" t="inlineStr">
        <is>
          <t>生活費の一部実負担や家事分担から始め、自立を「喪失」でなく「自由の獲得」と再定義する。シェアハウスや二世帯の段階的分離で、安全基地を残しながら自己決定の範囲を少しずつ広げる。家計管理・契約・行政手続きなど生活運営の当事者経験を積ませ、親も先回り支援を意図的に減らすことで、依存を自立へ緩やかに移行させる。</t>
        </is>
      </c>
      <c r="Q2" s="10" t="inlineStr">
        <is>
          <t>急な自立要求は反発・断絶や経済的困窮を招く恐れ(対策:段階設計と相談窓口・公的就労支援の併用)</t>
        </is>
      </c>
    </row>
    <row r="3">
      <c r="A3" s="12" t="n">
        <v>2</v>
      </c>
      <c r="B3" s="13" t="inlineStr">
        <is>
          <t>経済・労働</t>
        </is>
      </c>
      <c r="C3" s="13" t="inlineStr">
        <is>
          <t>ニート(NEET)</t>
        </is>
      </c>
      <c r="D3" s="13" t="inlineStr">
        <is>
          <t>充電チャージ中</t>
        </is>
      </c>
      <c r="E3" s="13" t="inlineStr">
        <is>
          <t>就労・就学・訓練のいずれもしない</t>
        </is>
      </c>
      <c r="F3" s="13" t="inlineStr">
        <is>
          <t>労働市場・教育から退出し扶養下に置かれる</t>
        </is>
      </c>
      <c r="G3" s="13" t="inlineStr">
        <is>
          <t>飼い主=家族/社会。働いて稼ぐ回路を手放す</t>
        </is>
      </c>
      <c r="H3" s="13" t="inlineStr">
        <is>
          <t>英Social Exclusion Unit『Bridging the Gap』(1999)/玄田有史・曲沼美恵『ニート』(2004)</t>
        </is>
      </c>
      <c r="I3" s="12" t="inlineStr">
        <is>
          <t>行政/学者</t>
        </is>
      </c>
      <c r="J3" s="14" t="inlineStr">
        <is>
          <t>https://ja.wikipedia.org/wiki/ニート</t>
        </is>
      </c>
      <c r="K3" s="12" t="n">
        <v>6</v>
      </c>
      <c r="L3" s="12" t="n">
        <v>8</v>
      </c>
      <c r="M3" s="12">
        <f>IF(AND(K3&lt;=5,L3&gt;=6),"公営の檻",IF(AND(K3&gt;=6,L3&gt;=6),"ハイテク室内飼い",IF(AND(K3&lt;=5,L3&lt;=5),"半野良(公)","半野良(私)")))</f>
        <v/>
      </c>
      <c r="N3" s="13" t="inlineStr">
        <is>
          <t>「いきなり正社員でなくていい」短時間・体験就労という低い入口</t>
        </is>
      </c>
      <c r="O3" s="13" t="inlineStr">
        <is>
          <t>評価や競争の圧が低く、失敗が許される小さな現場</t>
        </is>
      </c>
      <c r="P3" s="13" t="inlineStr">
        <is>
          <t>中間的就労や短時間アルバイト、地域の役割など「低い入口」から社会接点を再構築する。就労=フルタイム正規という思い込みを外し、自己効力感を小さな成功で積み上げる。サポステ等の伴走支援、職業訓練、デジタルスキル習得を組み合わせ、本人のペースで段階的に労働市場へ橋渡しする。</t>
        </is>
      </c>
      <c r="Q3" s="13" t="inlineStr">
        <is>
          <t>焦らせると自己否定を強め長期化する恐れ(対策:本人ペース尊重と伴走型支援、家族支援の併用)</t>
        </is>
      </c>
    </row>
    <row r="4">
      <c r="A4" s="9" t="n">
        <v>3</v>
      </c>
      <c r="B4" s="10" t="inlineStr">
        <is>
          <t>経済・労働/心理</t>
        </is>
      </c>
      <c r="C4" s="10" t="inlineStr">
        <is>
          <t>ひきこもり</t>
        </is>
      </c>
      <c r="D4" s="10" t="inlineStr">
        <is>
          <t>おうち充電中</t>
        </is>
      </c>
      <c r="E4" s="10" t="inlineStr">
        <is>
          <t>半年以上、自宅中心の生活</t>
        </is>
      </c>
      <c r="F4" s="10" t="inlineStr">
        <is>
          <t>社会的接触を断ち、家庭という閉域で完結</t>
        </is>
      </c>
      <c r="G4" s="10" t="inlineStr">
        <is>
          <t>飼い主=家庭。社会関係と外界での自律を手放す</t>
        </is>
      </c>
      <c r="H4" s="10" t="inlineStr">
        <is>
          <t>内閣府『こども・若者の意識と生活に関する調査』(2023公表)推計 約146万人(15〜64歳)※要再確認</t>
        </is>
      </c>
      <c r="I4" s="9" t="inlineStr">
        <is>
          <t>行政</t>
        </is>
      </c>
      <c r="J4" s="11" t="inlineStr">
        <is>
          <t>https://www.cfa.go.jp/resources/research/chilren-attitudes</t>
        </is>
      </c>
      <c r="K4" s="9" t="n">
        <v>7</v>
      </c>
      <c r="L4" s="9" t="n">
        <v>9</v>
      </c>
      <c r="M4" s="9">
        <f>IF(AND(K4&lt;=5,L4&gt;=6),"公営の檻",IF(AND(K4&gt;=6,L4&gt;=6),"ハイテク室内飼い",IF(AND(K4&lt;=5,L4&lt;=5),"半野良(公)","半野良(私)")))</f>
        <v/>
      </c>
      <c r="N4" s="10" t="inlineStr">
        <is>
          <t>顔出し不要のオンライン接点という「安全な細い糸」</t>
        </is>
      </c>
      <c r="O4" s="10" t="inlineStr">
        <is>
          <t>匿名性が高く、いつでも退出できる低刺激の安全空間</t>
        </is>
      </c>
      <c r="P4" s="10" t="inlineStr">
        <is>
          <t>まずオンラインのゲームやチャット等、顔を出さずに済む弱い接点から始め、安心できる範囲を少しずつ外界へ広げる。本人を「問題」でなく回復の主体と捉え、訪問支援・居場所・ピアサポートを組み合わせる。家族の孤立も防ぎ、就労より先に「人とつながり直す」段階を丁寧に設計する。</t>
        </is>
      </c>
      <c r="Q4" s="10" t="inlineStr">
        <is>
          <t>性急な外出促しは恐怖反応・再閉じこもりを招く(対策:任意性の徹底と専門機関連携、家族支援)</t>
        </is>
      </c>
    </row>
    <row r="5">
      <c r="A5" s="12" t="n">
        <v>4</v>
      </c>
      <c r="B5" s="13" t="inlineStr">
        <is>
          <t>福祉・ケア</t>
        </is>
      </c>
      <c r="C5" s="13" t="inlineStr">
        <is>
          <t>中高年ひきこもり(8050問題)</t>
        </is>
      </c>
      <c r="D5" s="13" t="inlineStr">
        <is>
          <t>じっくり再スタート中</t>
        </is>
      </c>
      <c r="E5" s="13" t="inlineStr">
        <is>
          <t>高齢の親が中年の子を扶養</t>
        </is>
      </c>
      <c r="F5" s="13" t="inlineStr">
        <is>
          <t>親の年金・住居に全面依存し長期化</t>
        </is>
      </c>
      <c r="G5" s="13" t="inlineStr">
        <is>
          <t>飼い主=高齢親。経済的自立と将来設計を手放す</t>
        </is>
      </c>
      <c r="H5" s="13" t="inlineStr">
        <is>
          <t>内閣府『生活状況に関する調査』(2019)推計 約61万人(40〜64歳)※要再確認</t>
        </is>
      </c>
      <c r="I5" s="12" t="inlineStr">
        <is>
          <t>行政</t>
        </is>
      </c>
      <c r="J5" s="14" t="inlineStr">
        <is>
          <t>https://warp.ndl.go.jp/web/20230703141614/www8.cao.go.jp/youth/kenkyu/life/h30/pdf-index.html</t>
        </is>
      </c>
      <c r="K5" s="12" t="n">
        <v>6</v>
      </c>
      <c r="L5" s="12" t="n">
        <v>9</v>
      </c>
      <c r="M5" s="12">
        <f>IF(AND(K5&lt;=5,L5&gt;=6),"公営の檻",IF(AND(K5&gt;=6,L5&gt;=6),"ハイテク室内飼い",IF(AND(K5&lt;=5,L5&lt;=5),"半野良(公)","半野良(私)")))</f>
        <v/>
      </c>
      <c r="N5" s="13" t="inlineStr">
        <is>
          <t>「親なき後」の不安を具体的支援につなぐ安心情報</t>
        </is>
      </c>
      <c r="O5" s="13" t="inlineStr">
        <is>
          <t>親子とも責められない、伴走者がいる相談環境</t>
        </is>
      </c>
      <c r="P5" s="13" t="inlineStr">
        <is>
          <t>親の高齢化・死後を見据え、生活保護・障害福祉・自立支援など公的制度に早期接続する。本人と高齢親の双方を支える「世帯まるごと支援」で孤立と困窮の連鎖を断つ。就労が難しくても、日中の居場所や軽作業など社会との細い接点を確保し、生活の自律度を少しでも保つ。</t>
        </is>
      </c>
      <c r="Q5" s="13" t="inlineStr">
        <is>
          <t>親が支援を拒むと介入困難・問題の潜在化(対策:地域包括・社協のアウトリーチと信頼構築)</t>
        </is>
      </c>
    </row>
    <row r="6">
      <c r="A6" s="9" t="n">
        <v>5</v>
      </c>
      <c r="B6" s="10" t="inlineStr">
        <is>
          <t>経済・労働</t>
        </is>
      </c>
      <c r="C6" s="10" t="inlineStr">
        <is>
          <t>FIRE早期リタイア層</t>
        </is>
      </c>
      <c r="D6" s="10" t="inlineStr">
        <is>
          <t>自由時間デザイン中</t>
        </is>
      </c>
      <c r="E6" s="10" t="inlineStr">
        <is>
          <t>資産運用益で早期に労働から退出</t>
        </is>
      </c>
      <c r="F6" s="10" t="inlineStr">
        <is>
          <t>配当・利回りなど市場収益に生活を委ねる</t>
        </is>
      </c>
      <c r="G6" s="10" t="inlineStr">
        <is>
          <t>飼い主=市場。労働を通じた社会参加を手放す</t>
        </is>
      </c>
      <c r="H6" s="10" t="inlineStr">
        <is>
          <t>Vicki Robin &amp; Joe Dominguez『Your Money or Your Life』(1992)</t>
        </is>
      </c>
      <c r="I6" s="9" t="inlineStr">
        <is>
          <t>著述/実務</t>
        </is>
      </c>
      <c r="J6" s="11" t="inlineStr">
        <is>
          <t>https://en.wikipedia.org/wiki/FIRE_movement</t>
        </is>
      </c>
      <c r="K6" s="9" t="n">
        <v>9</v>
      </c>
      <c r="L6" s="9" t="n">
        <v>6</v>
      </c>
      <c r="M6" s="9">
        <f>IF(AND(K6&lt;=5,L6&gt;=6),"公営の檻",IF(AND(K6&gt;=6,L6&gt;=6),"ハイテク室内飼い",IF(AND(K6&lt;=5,L6&lt;=5),"半野良(公)","半野良(私)")))</f>
        <v/>
      </c>
      <c r="N6" s="10" t="inlineStr">
        <is>
          <t>「お金より暇の使い道」=社会的役割の提示</t>
        </is>
      </c>
      <c r="O6" s="10" t="inlineStr">
        <is>
          <t>経済的自由を保ちつつ自発的に貢献できる緩い場</t>
        </is>
      </c>
      <c r="P6" s="10" t="inlineStr">
        <is>
          <t>労働から退いても社会的役割や貢献の回路を意図的に持つ。市場収益への一極依存はリスクなので、スキル・人的ネットワーク・健康という非金融資本も維持する。プロボノ、地域活動、創作など「稼ぐためでない活動」に主体的に関わり、自由を受動的消費でなく能動的創造に向ける。</t>
        </is>
      </c>
      <c r="Q6" s="10" t="inlineStr">
        <is>
          <t>役割喪失で生きがい低下・市場暴落時の生活不安(対策:活動の多元化と資産配分の保守化)</t>
        </is>
      </c>
    </row>
    <row r="7">
      <c r="A7" s="12" t="n">
        <v>6</v>
      </c>
      <c r="B7" s="13" t="inlineStr">
        <is>
          <t>思想・未来</t>
        </is>
      </c>
      <c r="C7" s="13" t="inlineStr">
        <is>
          <t>ベーシックインカム待望者</t>
        </is>
      </c>
      <c r="D7" s="13" t="inlineStr">
        <is>
          <t>働き方さがし中</t>
        </is>
      </c>
      <c r="E7" s="13" t="inlineStr">
        <is>
          <t>無条件給付による不労生活を望む</t>
        </is>
      </c>
      <c r="F7" s="13" t="inlineStr">
        <is>
          <t>国家給付を前提に労働義務感が低下</t>
        </is>
      </c>
      <c r="G7" s="13" t="inlineStr">
        <is>
          <t>飼い主=国家。労働による自立の前提を手放す</t>
        </is>
      </c>
      <c r="H7" s="13" t="inlineStr">
        <is>
          <t>Philippe Van Parijs『Real Freedom for All』(1995)</t>
        </is>
      </c>
      <c r="I7" s="12" t="inlineStr">
        <is>
          <t>学者</t>
        </is>
      </c>
      <c r="J7" s="14" t="inlineStr">
        <is>
          <t>https://en.wikipedia.org/wiki/Basic_income</t>
        </is>
      </c>
      <c r="K7" s="12" t="n">
        <v>2</v>
      </c>
      <c r="L7" s="12" t="n">
        <v>7</v>
      </c>
      <c r="M7" s="12">
        <f>IF(AND(K7&lt;=5,L7&gt;=6),"公営の檻",IF(AND(K7&gt;=6,L7&gt;=6),"ハイテク室内飼い",IF(AND(K7&lt;=5,L7&lt;=5),"半野良(公)","半野良(私)")))</f>
        <v/>
      </c>
      <c r="N7" s="13" t="inlineStr">
        <is>
          <t>「給付は自由の原資」という能動的な再定義</t>
        </is>
      </c>
      <c r="O7" s="13" t="inlineStr">
        <is>
          <t>最低限の安心が保障され、挑戦の失敗が許される環境</t>
        </is>
      </c>
      <c r="P7" s="13" t="inlineStr">
        <is>
          <t>給付を「働かない口実」でなく「挑戦・学び・自治の原資」と捉え直す。所得保障があるからこそ可能になる起業・創作・地域活動・ケアなど、市場外の価値創造に主体的に向かう設計を持つ。制度の是非を論じるだけでなく、自分が担い手として何をするかという問いを併せ持つ。</t>
        </is>
      </c>
      <c r="Q7" s="13" t="inlineStr">
        <is>
          <t>制度実現を前提にした生活設計は不確実(対策:給付に依らない自立基盤も並行確保)</t>
        </is>
      </c>
    </row>
    <row r="8">
      <c r="A8" s="9" t="n">
        <v>7</v>
      </c>
      <c r="B8" s="10" t="inlineStr">
        <is>
          <t>経済・労働</t>
        </is>
      </c>
      <c r="C8" s="10" t="inlineStr">
        <is>
          <t>ぶら下がり社員(社内失業)</t>
        </is>
      </c>
      <c r="D8" s="10" t="inlineStr">
        <is>
          <t>実力あたため中</t>
        </is>
      </c>
      <c r="E8" s="10" t="inlineStr">
        <is>
          <t>成果を出さず雇用に安住</t>
        </is>
      </c>
      <c r="F8" s="10" t="inlineStr">
        <is>
          <t>付加価値を生まず組織に庇護される</t>
        </is>
      </c>
      <c r="G8" s="10" t="inlineStr">
        <is>
          <t>飼い主=企業。市場で通用する力の維持を手放す</t>
        </is>
      </c>
      <c r="H8" s="10" t="inlineStr">
        <is>
          <t>リクルートワークス研究所『社内失業』の推計・分析</t>
        </is>
      </c>
      <c r="I8" s="9" t="inlineStr">
        <is>
          <t>研究機関</t>
        </is>
      </c>
      <c r="J8" s="11" t="inlineStr">
        <is>
          <t>https://www.works-i.com/</t>
        </is>
      </c>
      <c r="K8" s="9" t="n">
        <v>8</v>
      </c>
      <c r="L8" s="9" t="n">
        <v>8</v>
      </c>
      <c r="M8" s="9">
        <f>IF(AND(K8&lt;=5,L8&gt;=6),"公営の檻",IF(AND(K8&gt;=6,L8&gt;=6),"ハイテク室内飼い",IF(AND(K8&lt;=5,L8&lt;=5),"半野良(公)","半野良(私)")))</f>
        <v/>
      </c>
      <c r="N8" s="10" t="inlineStr">
        <is>
          <t>「市場で通用する自分」を取り戻す学び直しの機会</t>
        </is>
      </c>
      <c r="O8" s="10" t="inlineStr">
        <is>
          <t>役割と裁量が明確で、貢献が見える化される職場</t>
        </is>
      </c>
      <c r="P8" s="10" t="inlineStr">
        <is>
          <t>リスキリングや社内公募、副業解禁などで市場価値を再構築し、雇用に守られる安心を能動的貢献へ転換する。意欲低下は配置・評価のミスマッチが原因のことも多く、役割の再設計と上司との対話が鍵。学びの場と小さな成功体験を用意し、「居るだけ」から「動く」へ橋渡しする。</t>
        </is>
      </c>
      <c r="Q8" s="10" t="inlineStr">
        <is>
          <t>追い出し圧力と受け取られると士気低下・法的トラブル(対策:支援的な再配置と納得感ある対話)</t>
        </is>
      </c>
    </row>
    <row r="9">
      <c r="A9" s="12" t="n">
        <v>8</v>
      </c>
      <c r="B9" s="13" t="inlineStr">
        <is>
          <t>デジタル</t>
        </is>
      </c>
      <c r="C9" s="13" t="inlineStr">
        <is>
          <t>ギグワーカー(プラットフォーム依存)</t>
        </is>
      </c>
      <c r="D9" s="13" t="inlineStr">
        <is>
          <t>自由な働き方 実験中</t>
        </is>
      </c>
      <c r="E9" s="13" t="inlineStr">
        <is>
          <t>アプリ指示で配車・配達して稼ぐ</t>
        </is>
      </c>
      <c r="F9" s="13" t="inlineStr">
        <is>
          <t>評価・配分をアルゴリズムに管理される</t>
        </is>
      </c>
      <c r="G9" s="13" t="inlineStr">
        <is>
          <t>飼い主=プラットフォーム。労働条件の自己決定を手放す</t>
        </is>
      </c>
      <c r="H9" s="13" t="inlineStr">
        <is>
          <t>ILO『World Employment and Social Outlook』(2021)プラットフォーム労働</t>
        </is>
      </c>
      <c r="I9" s="12" t="inlineStr">
        <is>
          <t>研究機関/行政</t>
        </is>
      </c>
      <c r="J9" s="14" t="inlineStr">
        <is>
          <t>https://en.wikipedia.org/wiki/Gig_worker</t>
        </is>
      </c>
      <c r="K9" s="12" t="n">
        <v>9</v>
      </c>
      <c r="L9" s="12" t="n">
        <v>5</v>
      </c>
      <c r="M9" s="12">
        <f>IF(AND(K9&lt;=5,L9&gt;=6),"公営の檻",IF(AND(K9&gt;=6,L9&gt;=6),"ハイテク室内飼い",IF(AND(K9&lt;=5,L9&lt;=5),"半野良(公)","半野良(私)")))</f>
        <v/>
      </c>
      <c r="N9" s="13" t="inlineStr">
        <is>
          <t>「複数の餌場」=収入源とつながりの分散</t>
        </is>
      </c>
      <c r="O9" s="13" t="inlineStr">
        <is>
          <t>評価が透明で、交渉余地と仲間がいる労働環境</t>
        </is>
      </c>
      <c r="P9" s="13" t="inlineStr">
        <is>
          <t>単一プラットフォームへの依存を避け、複数の収入源や技能を持つ。労働者協同組合やギグワーカーの団体に加わり、報酬・評価の不透明さに交渉力を持つ。アルゴリズム管理の仕組みを理解し、データや評価を自分の資産として蓄積・移転できる形を意識して働く。</t>
        </is>
      </c>
      <c r="Q9" s="13" t="inlineStr">
        <is>
          <t>分散は収入の不安定化も招く(対策:社会保険・最低保障の整備と複業ポートフォリオ設計)</t>
        </is>
      </c>
    </row>
    <row r="10">
      <c r="A10" s="9" t="n">
        <v>9</v>
      </c>
      <c r="B10" s="10" t="inlineStr">
        <is>
          <t>デジタル</t>
        </is>
      </c>
      <c r="C10" s="10" t="inlineStr">
        <is>
          <t>レコメンド任せ(フィルターバブル)</t>
        </is>
      </c>
      <c r="D10" s="10" t="inlineStr">
        <is>
          <t>“好き”さがし中</t>
        </is>
      </c>
      <c r="E10" s="10" t="inlineStr">
        <is>
          <t>視聴・購買をAIのおすすめに委ねる</t>
        </is>
      </c>
      <c r="F10" s="10" t="inlineStr">
        <is>
          <t>選択をアルゴリズムに外注し視野が狭まる</t>
        </is>
      </c>
      <c r="G10" s="10" t="inlineStr">
        <is>
          <t>飼い主=推薦システム。自分で選ぶ力を手放す</t>
        </is>
      </c>
      <c r="H10" s="10" t="inlineStr">
        <is>
          <t>Eli Pariser『The Filter Bubble』(2011)</t>
        </is>
      </c>
      <c r="I10" s="9" t="inlineStr">
        <is>
          <t>著述/学者</t>
        </is>
      </c>
      <c r="J10" s="11" t="inlineStr">
        <is>
          <t>https://en.wikipedia.org/wiki/Filter_bubble</t>
        </is>
      </c>
      <c r="K10" s="9" t="n">
        <v>10</v>
      </c>
      <c r="L10" s="9" t="n">
        <v>7</v>
      </c>
      <c r="M10" s="9">
        <f>IF(AND(K10&lt;=5,L10&gt;=6),"公営の檻",IF(AND(K10&gt;=6,L10&gt;=6),"ハイテク室内飼い",IF(AND(K10&lt;=5,L10&lt;=5),"半野良(公)","半野良(私)")))</f>
        <v/>
      </c>
      <c r="N10" s="10" t="inlineStr">
        <is>
          <t>「自分で見つけた」発見の喜びを取り戻す体験</t>
        </is>
      </c>
      <c r="O10" s="10" t="inlineStr">
        <is>
          <t>多様な情報に偶然出会える、回遊できる情報環境</t>
        </is>
      </c>
      <c r="P10" s="10" t="inlineStr">
        <is>
          <t>情報源を意図的に多様化し、推薦に流されず自分で探索する習慣を持つ。アルゴリズムの仕組みと嗜好が強化される構造を理解し、あえて普段見ない分野・反対意見に触れる。一次情報や信頼できる複数メディアを定点確認し、「選ばされる」から「自ら選ぶ」へ主導権を取り戻す。</t>
        </is>
      </c>
      <c r="Q10" s="10" t="inlineStr">
        <is>
          <t>多様化は情報過多・疲労も生む(対策:信頼できる定点情報源を絞り確認時間を区切る)</t>
        </is>
      </c>
    </row>
    <row r="11">
      <c r="A11" s="12" t="n">
        <v>10</v>
      </c>
      <c r="B11" s="13" t="inlineStr">
        <is>
          <t>デジタル</t>
        </is>
      </c>
      <c r="C11" s="13" t="inlineStr">
        <is>
          <t>SNS承認依存</t>
        </is>
      </c>
      <c r="D11" s="13" t="inlineStr">
        <is>
          <t>つながりたい気持ち大きめ</t>
        </is>
      </c>
      <c r="E11" s="13" t="inlineStr">
        <is>
          <t>いいね・フォロワーで自己価値を測る</t>
        </is>
      </c>
      <c r="F11" s="13" t="inlineStr">
        <is>
          <t>注意経済の報酬系に行動を最適化される</t>
        </is>
      </c>
      <c r="G11" s="13" t="inlineStr">
        <is>
          <t>飼い主=注意経済。自己評価の主導権を手放す</t>
        </is>
      </c>
      <c r="H11" s="13" t="inlineStr">
        <is>
          <t>Tristan Harris/Center for Humane Technology の問題提起</t>
        </is>
      </c>
      <c r="I11" s="12" t="inlineStr">
        <is>
          <t>研究機関</t>
        </is>
      </c>
      <c r="J11" s="14" t="inlineStr">
        <is>
          <t>https://www.humanetech.com/</t>
        </is>
      </c>
      <c r="K11" s="12" t="n">
        <v>10</v>
      </c>
      <c r="L11" s="12" t="n">
        <v>7</v>
      </c>
      <c r="M11" s="12">
        <f>IF(AND(K11&lt;=5,L11&gt;=6),"公営の檻",IF(AND(K11&gt;=6,L11&gt;=6),"ハイテク室内飼い",IF(AND(K11&lt;=5,L11&lt;=5),"半野良(公)","半野良(私)")))</f>
        <v/>
      </c>
      <c r="N11" s="13" t="inlineStr">
        <is>
          <t>「数字に左右されない自己評価軸」をくれる承認体験</t>
        </is>
      </c>
      <c r="O11" s="13" t="inlineStr">
        <is>
          <t>反応より関係の質が重視される、安心できる小さな場</t>
        </is>
      </c>
      <c r="P11" s="13" t="inlineStr">
        <is>
          <t>いいね・フォロワー数から距離を置き、内発的な達成基準や対面の関係に価値の重心を移す。利用時間や通知を制御し、比較で自尊心が削られる構造を自覚する。発信を「承認獲得」でなく「表現・貢献」と捉え直し、数字に依らない自己肯定の源泉(役割・趣味・関係)を複数持つ。</t>
        </is>
      </c>
      <c r="Q11" s="13" t="inlineStr">
        <is>
          <t>急な断SNSは孤立感・離脱困難(対策:段階的な利用設計と代替コミュニティの確保)</t>
        </is>
      </c>
    </row>
    <row r="12">
      <c r="A12" s="9" t="n">
        <v>11</v>
      </c>
      <c r="B12" s="10" t="inlineStr">
        <is>
          <t>デジタル</t>
        </is>
      </c>
      <c r="C12" s="10" t="inlineStr">
        <is>
          <t>サブスク全部入り(非所有)</t>
        </is>
      </c>
      <c r="D12" s="10" t="inlineStr">
        <is>
          <t>身軽ぐらし満喫中</t>
        </is>
      </c>
      <c r="E12" s="10" t="inlineStr">
        <is>
          <t>所有せず月額で借り続ける</t>
        </is>
      </c>
      <c r="F12" s="10" t="inlineStr">
        <is>
          <t>事業者のサービス継続に生活基盤を依存</t>
        </is>
      </c>
      <c r="G12" s="10" t="inlineStr">
        <is>
          <t>飼い主=サービス事業者。所有による自律を手放す</t>
        </is>
      </c>
      <c r="H12" s="10" t="inlineStr">
        <is>
          <t>Jeremy Rifkin『The Age of Access』(2000)</t>
        </is>
      </c>
      <c r="I12" s="9" t="inlineStr">
        <is>
          <t>学者</t>
        </is>
      </c>
      <c r="J12" s="11" t="inlineStr">
        <is>
          <t>https://en.wikipedia.org/wiki/The_Age_of_Access</t>
        </is>
      </c>
      <c r="K12" s="9" t="n">
        <v>9</v>
      </c>
      <c r="L12" s="9" t="n">
        <v>6</v>
      </c>
      <c r="M12" s="9">
        <f>IF(AND(K12&lt;=5,L12&gt;=6),"公営の檻",IF(AND(K12&gt;=6,L12&gt;=6),"ハイテク室内飼い",IF(AND(K12&lt;=5,L12&lt;=5),"半野良(公)","半野良(私)")))</f>
        <v/>
      </c>
      <c r="N12" s="10" t="inlineStr">
        <is>
          <t>「止まっても困らない」基盤の自前確保という安心</t>
        </is>
      </c>
      <c r="O12" s="10" t="inlineStr">
        <is>
          <t>必要なものは身軽に借り、要所は自分で握れる環境</t>
        </is>
      </c>
      <c r="P12" s="10" t="inlineStr">
        <is>
          <t>利便を享受しつつ、生活の根幹(データ・スキル・最低限の物)は所有・オフライン代替を確保する。サービス停止や値上げ、提供終了のリスクを想定し、重要データはローカル保存・移行可能な形にする。「持たない自由」と「持つことで得る自律」を使い分け、依存と身軽さのバランスを取る。</t>
        </is>
      </c>
      <c r="Q12" s="10" t="inlineStr">
        <is>
          <t>自前確保はコスト・手間増(対策:重要度で線引きし、基盤のみ二重化する)</t>
        </is>
      </c>
    </row>
    <row r="13">
      <c r="A13" s="12" t="n">
        <v>12</v>
      </c>
      <c r="B13" s="13" t="inlineStr">
        <is>
          <t>デジタル/思想</t>
        </is>
      </c>
      <c r="C13" s="13" t="inlineStr">
        <is>
          <t>認知アウトソース(AI思考代行)</t>
        </is>
      </c>
      <c r="D13" s="13" t="inlineStr">
        <is>
          <t>AIと二人三脚中</t>
        </is>
      </c>
      <c r="E13" s="13" t="inlineStr">
        <is>
          <t>考える前にAIに聞く</t>
        </is>
      </c>
      <c r="F13" s="13" t="inlineStr">
        <is>
          <t>思考・記憶・判断を機械に委譲</t>
        </is>
      </c>
      <c r="G13" s="13" t="inlineStr">
        <is>
          <t>飼い主=AI。考える力という人間の核を手放す</t>
        </is>
      </c>
      <c r="H13" s="13" t="inlineStr">
        <is>
          <t>Nicholas Carr『The Shallows』(2010)/B.Stiegler 技術論</t>
        </is>
      </c>
      <c r="I13" s="12" t="inlineStr">
        <is>
          <t>学者</t>
        </is>
      </c>
      <c r="J13" s="14" t="inlineStr">
        <is>
          <t>https://en.wikipedia.org/wiki/The_Shallows_(book)</t>
        </is>
      </c>
      <c r="K13" s="12" t="n">
        <v>10</v>
      </c>
      <c r="L13" s="12" t="n">
        <v>8</v>
      </c>
      <c r="M13" s="12">
        <f>IF(AND(K13&lt;=5,L13&gt;=6),"公営の檻",IF(AND(K13&gt;=6,L13&gt;=6),"ハイテク室内飼い",IF(AND(K13&lt;=5,L13&lt;=5),"半野良(公)","半野良(私)")))</f>
        <v/>
      </c>
      <c r="N13" s="13" t="inlineStr">
        <is>
          <t>「考える楽しさ」と「自分の判断への信頼」を取り戻す</t>
        </is>
      </c>
      <c r="O13" s="13" t="inlineStr">
        <is>
          <t>AIを下書き役に使い、最終判断は自分が握れる環境</t>
        </is>
      </c>
      <c r="P13" s="13" t="inlineStr">
        <is>
          <t>AIは下書き・壁打ち役に留め、最終的な判断・検証・責任は自分で担う。生成物を鵜呑みにせず一次情報で確認する習慣を持ち、考える過程そのものを手放さない。重要な意思決定や創造的作業では、まず自分で考えてからAIに当てる順序を守り、思考の筋力を意図的に鍛え続ける。</t>
        </is>
      </c>
      <c r="Q13" s="13" t="inlineStr">
        <is>
          <t>過度な不信は生産性を損なう(対策:用途を仕分け、検証コストに見合う使い方をする)</t>
        </is>
      </c>
    </row>
    <row r="14">
      <c r="A14" s="9" t="n">
        <v>13</v>
      </c>
      <c r="B14" s="10" t="inlineStr">
        <is>
          <t>デジタル</t>
        </is>
      </c>
      <c r="C14" s="10" t="inlineStr">
        <is>
          <t>メタバース/ゲーム没入</t>
        </is>
      </c>
      <c r="D14" s="10" t="inlineStr">
        <is>
          <t>もうひとつの世界を冒険中</t>
        </is>
      </c>
      <c r="E14" s="10" t="inlineStr">
        <is>
          <t>仮想世界に生活の重心を移す</t>
        </is>
      </c>
      <c r="F14" s="10" t="inlineStr">
        <is>
          <t>現実の自律を仮想の快適と交換</t>
        </is>
      </c>
      <c r="G14" s="10" t="inlineStr">
        <is>
          <t>飼い主=仮想空間運営。現実での自立を手放す</t>
        </is>
      </c>
      <c r="H14" s="10" t="inlineStr">
        <is>
          <t>Edward Castronova『Synthetic Worlds』(2005)</t>
        </is>
      </c>
      <c r="I14" s="9" t="inlineStr">
        <is>
          <t>学者</t>
        </is>
      </c>
      <c r="J14" s="11" t="inlineStr">
        <is>
          <t>https://en.wikipedia.org/wiki/Edward_Castronova</t>
        </is>
      </c>
      <c r="K14" s="9" t="n">
        <v>10</v>
      </c>
      <c r="L14" s="9" t="n">
        <v>8</v>
      </c>
      <c r="M14" s="9">
        <f>IF(AND(K14&lt;=5,L14&gt;=6),"公営の檻",IF(AND(K14&gt;=6,L14&gt;=6),"ハイテク室内飼い",IF(AND(K14&lt;=5,L14&lt;=5),"半野良(公)","半野良(私)")))</f>
        <v/>
      </c>
      <c r="N14" s="10" t="inlineStr">
        <is>
          <t>現実でも得られる達成感・つながりの再発見</t>
        </is>
      </c>
      <c r="O14" s="10" t="inlineStr">
        <is>
          <t>仮想と現実を行き来でき、両方に居場所がある環境</t>
        </is>
      </c>
      <c r="P14" s="10" t="inlineStr">
        <is>
          <t>仮想世界への没入を否定せず、現実の役割・関係と両立する設計を持つ。ゲームで得る達成感や社交を現実の活動にも還流し、生活時間の配分を意識的に管理する。仮想を「逃避先」でなく「もう一つの居場所」と位置づけ、現実の課題に向き合う力を仮想で養った自己効力感で支える。</t>
        </is>
      </c>
      <c r="Q14" s="10" t="inlineStr">
        <is>
          <t>制限が反発・離脱を生む(対策:時間でなく目的で区切り、現実側の魅力を高める)</t>
        </is>
      </c>
    </row>
    <row r="15">
      <c r="A15" s="12" t="n">
        <v>14</v>
      </c>
      <c r="B15" s="13" t="inlineStr">
        <is>
          <t>デジタル</t>
        </is>
      </c>
      <c r="C15" s="13" t="inlineStr">
        <is>
          <t>EC・デリバリー完結生活</t>
        </is>
      </c>
      <c r="D15" s="13" t="inlineStr">
        <is>
          <t>おうち完結の達人</t>
        </is>
      </c>
      <c r="E15" s="13" t="inlineStr">
        <is>
          <t>外出せず全てを配達で済ます</t>
        </is>
      </c>
      <c r="F15" s="13" t="inlineStr">
        <is>
          <t>物流・PFに生活インフラを依存</t>
        </is>
      </c>
      <c r="G15" s="13" t="inlineStr">
        <is>
          <t>飼い主=物流PF。外界での生活技能を手放す</t>
        </is>
      </c>
      <c r="H15" s="13" t="inlineStr">
        <is>
          <t>経済産業省『電子商取引に関する市場調査』(各年)</t>
        </is>
      </c>
      <c r="I15" s="12" t="inlineStr">
        <is>
          <t>行政</t>
        </is>
      </c>
      <c r="J15" s="14" t="inlineStr">
        <is>
          <t>https://www.meti.go.jp/policy/it_policy/statistics/outlook/ie_outlook.html</t>
        </is>
      </c>
      <c r="K15" s="12" t="n">
        <v>9</v>
      </c>
      <c r="L15" s="12" t="n">
        <v>6</v>
      </c>
      <c r="M15" s="12">
        <f>IF(AND(K15&lt;=5,L15&gt;=6),"公営の檻",IF(AND(K15&gt;=6,L15&gt;=6),"ハイテク室内飼い",IF(AND(K15&lt;=5,L15&lt;=5),"半野良(公)","半野良(私)")))</f>
        <v/>
      </c>
      <c r="N15" s="13" t="inlineStr">
        <is>
          <t>対面・地域の生活回路が持つ偶然の楽しさ</t>
        </is>
      </c>
      <c r="O15" s="13" t="inlineStr">
        <is>
          <t>便利さを保ちつつ、徒歩圏に行きつけがある環境</t>
        </is>
      </c>
      <c r="P15" s="13" t="inlineStr">
        <is>
          <t>配達・ECの利便を活かしつつ、対面・地域の生活回路も意図的に残す。買い物・通院・交流を全てオンライン化せず、歩いて行ける店や場との接点を保ち、災害時やサービス停止への耐性を確保する。利便と自律のバランスを取り、生活技能と地域の弱いつながりを維持する。</t>
        </is>
      </c>
      <c r="Q15" s="13" t="inlineStr">
        <is>
          <t>二重維持は時間負担(対策:週数回など頻度を決め習慣化する)</t>
        </is>
      </c>
    </row>
    <row r="16">
      <c r="A16" s="9" t="n">
        <v>15</v>
      </c>
      <c r="B16" s="10" t="inlineStr">
        <is>
          <t>政治・市民参加</t>
        </is>
      </c>
      <c r="C16" s="10" t="inlineStr">
        <is>
          <t>無関心・棄権層</t>
        </is>
      </c>
      <c r="D16" s="10" t="inlineStr">
        <is>
          <t>関心これから育て中</t>
        </is>
      </c>
      <c r="E16" s="10" t="inlineStr">
        <is>
          <t>投票も発言もしない</t>
        </is>
      </c>
      <c r="F16" s="10" t="inlineStr">
        <is>
          <t>政治的決定を他者に丸投げ</t>
        </is>
      </c>
      <c r="G16" s="10" t="inlineStr">
        <is>
          <t>飼い主=政治家/行政。意思表示の権利を手放す</t>
        </is>
      </c>
      <c r="H16" s="10" t="inlineStr">
        <is>
          <t>総務省『国政選挙における投票率の推移』</t>
        </is>
      </c>
      <c r="I16" s="9" t="inlineStr">
        <is>
          <t>行政</t>
        </is>
      </c>
      <c r="J16" s="11" t="inlineStr">
        <is>
          <t>https://www.soumu.go.jp/senkyo/senkyo_s/news/sonota/ritu/</t>
        </is>
      </c>
      <c r="K16" s="9" t="n">
        <v>3</v>
      </c>
      <c r="L16" s="9" t="n">
        <v>7</v>
      </c>
      <c r="M16" s="9">
        <f>IF(AND(K16&lt;=5,L16&gt;=6),"公営の檻",IF(AND(K16&gt;=6,L16&gt;=6),"ハイテク室内飼い",IF(AND(K16&lt;=5,L16&lt;=5),"半野良(公)","半野良(私)")))</f>
        <v/>
      </c>
      <c r="N16" s="10" t="inlineStr">
        <is>
          <t>「自分の一票が暮らしに直結する」実感を持てる争点</t>
        </is>
      </c>
      <c r="O16" s="10" t="inlineStr">
        <is>
          <t>政治が身近で、参加コストが低く可視化された環境</t>
        </is>
      </c>
      <c r="P16" s="10" t="inlineStr">
        <is>
          <t>身近な生活課題(保育・道路・防災等)から関心の入口を作り、投票や意見表明という最小の関与を始める。政治を遠い舞台でなく暮らしの延長として可視化し、候補者比較ツールや地域の対話の場を活用する。「どうせ変わらない」を小さな参加の成功体験で更新する。</t>
        </is>
      </c>
      <c r="Q16" s="10" t="inlineStr">
        <is>
          <t>過度な動員は反発・分断(対策:中立的な情報提供と低圧の参加機会に留める)</t>
        </is>
      </c>
    </row>
    <row r="17">
      <c r="A17" s="12" t="n">
        <v>16</v>
      </c>
      <c r="B17" s="13" t="inlineStr">
        <is>
          <t>政治・市民参加</t>
        </is>
      </c>
      <c r="C17" s="13" t="inlineStr">
        <is>
          <t>お上任せ・公助依存</t>
        </is>
      </c>
      <c r="D17" s="13" t="inlineStr">
        <is>
          <t>頼りじょうず</t>
        </is>
      </c>
      <c r="E17" s="13" t="inlineStr">
        <is>
          <t>何でも行政が解決すべきと考える</t>
        </is>
      </c>
      <c r="F17" s="13" t="inlineStr">
        <is>
          <t>自助・共助を放棄し公助に過度依存</t>
        </is>
      </c>
      <c r="G17" s="13" t="inlineStr">
        <is>
          <t>飼い主=行政。自分たちで担う力を手放す</t>
        </is>
      </c>
      <c r="H17" s="13" t="inlineStr">
        <is>
          <t>Sherry Arnstein『A Ladder of Citizen Participation』(1969)</t>
        </is>
      </c>
      <c r="I17" s="12" t="inlineStr">
        <is>
          <t>学者</t>
        </is>
      </c>
      <c r="J17" s="14" t="inlineStr">
        <is>
          <t>https://doi.org/10.1080/01944366908977225</t>
        </is>
      </c>
      <c r="K17" s="12" t="n">
        <v>1</v>
      </c>
      <c r="L17" s="12" t="n">
        <v>8</v>
      </c>
      <c r="M17" s="12">
        <f>IF(AND(K17&lt;=5,L17&gt;=6),"公営の檻",IF(AND(K17&gt;=6,L17&gt;=6),"ハイテク室内飼い",IF(AND(K17&lt;=5,L17&lt;=5),"半野良(公)","半野良(私)")))</f>
        <v/>
      </c>
      <c r="N17" s="13" t="inlineStr">
        <is>
          <t>「自分たちで決められた」当事者としての達成感</t>
        </is>
      </c>
      <c r="O17" s="13" t="inlineStr">
        <is>
          <t>自助・共助・公助が役割分担され、参加が歓迎される環境</t>
        </is>
      </c>
      <c r="P17" s="13" t="inlineStr">
        <is>
          <t>アーンスタインの参加の梯子を上り、要求だけでなく決定過程に当事者として関わる。自助・共助・公助の役割分担を理解し、地域で担える部分は自分たちで担う。住民協議や合意形成の場に参加し、行政を「サービス提供者」から「協働の相手」へと関係を組み替える。</t>
        </is>
      </c>
      <c r="Q17" s="13" t="inlineStr">
        <is>
          <t>負担の押し付けと受け取られる恐れ(対策:強制でなく選択的参加と成功事例の共有)</t>
        </is>
      </c>
    </row>
    <row r="18">
      <c r="A18" s="9" t="n">
        <v>17</v>
      </c>
      <c r="B18" s="10" t="inlineStr">
        <is>
          <t>政治・市民参加</t>
        </is>
      </c>
      <c r="C18" s="10" t="inlineStr">
        <is>
          <t>お客様・クレーマー型市民(自動販売機モデル)</t>
        </is>
      </c>
      <c r="D18" s="10" t="inlineStr">
        <is>
          <t>気づき発信タイプ</t>
        </is>
      </c>
      <c r="E18" s="10" t="inlineStr">
        <is>
          <t>税の対価にサービスを要求・苦情するのみ</t>
        </is>
      </c>
      <c r="F18" s="10" t="inlineStr">
        <is>
          <t>受益のみ求め担い手にならない</t>
        </is>
      </c>
      <c r="G18" s="10" t="inlineStr">
        <is>
          <t>飼い主=自治体/行政。共同統治の主体性を手放す</t>
        </is>
      </c>
      <c r="H18" s="10" t="inlineStr">
        <is>
          <t>新川達郎・稲継裕昭ほか 自治体経営論/公共サービス・ロジック論/カスハラ研究</t>
        </is>
      </c>
      <c r="I18" s="9" t="inlineStr">
        <is>
          <t>学者/研究機関</t>
        </is>
      </c>
      <c r="J18" s="11" t="inlineStr">
        <is>
          <t>https://en.wikipedia.org/wiki/New_public_management</t>
        </is>
      </c>
      <c r="K18" s="9" t="n">
        <v>2</v>
      </c>
      <c r="L18" s="9" t="n">
        <v>7</v>
      </c>
      <c r="M18" s="9">
        <f>IF(AND(K18&lt;=5,L18&gt;=6),"公営の檻",IF(AND(K18&gt;=6,L18&gt;=6),"ハイテク室内飼い",IF(AND(K18&lt;=5,L18&lt;=5),"半野良(公)","半野良(私)")))</f>
        <v/>
      </c>
      <c r="N18" s="10" t="inlineStr">
        <is>
          <t>「提案して実現した」当事者の達成感</t>
        </is>
      </c>
      <c r="O18" s="10" t="inlineStr">
        <is>
          <t>要求が協働に転換でき、声が形になる環境</t>
        </is>
      </c>
      <c r="P18" s="10" t="inlineStr">
        <is>
          <t>税の対価としてサービスを要求・苦情するだけの関わりから、解決の担い手へ役割を転換する。要求を提案や協働に変える回路(住民提案制度・参加型予算・協議の場)を用意し、「お客様」から「共同統治の主体」へ。クレームの背後にある困りごとを建設的な改善につなげる仕組みを整える。</t>
        </is>
      </c>
      <c r="Q18" s="10" t="inlineStr">
        <is>
          <t>過度な参加要求は負担・対立(対策:選択的参加と苦情対応ルールの整備)</t>
        </is>
      </c>
    </row>
    <row r="19">
      <c r="A19" s="12" t="n">
        <v>18</v>
      </c>
      <c r="B19" s="13" t="inlineStr">
        <is>
          <t>政治・市民参加</t>
        </is>
      </c>
      <c r="C19" s="13" t="inlineStr">
        <is>
          <t>NIMBY</t>
        </is>
      </c>
      <c r="D19" s="13" t="inlineStr">
        <is>
          <t>自分ごと化これから</t>
        </is>
      </c>
      <c r="E19" s="13" t="inlineStr">
        <is>
          <t>総論賛成・各論反対</t>
        </is>
      </c>
      <c r="F19" s="13" t="inlineStr">
        <is>
          <t>負担回避と受益のみを志向</t>
        </is>
      </c>
      <c r="G19" s="13" t="inlineStr">
        <is>
          <t>飼い主=社会全体。公共的負担の分担を手放す</t>
        </is>
      </c>
      <c r="H19" s="13" t="inlineStr">
        <is>
          <t>Michael Dear『Understanding and Overcoming the NIMBY Syndrome』(1992)</t>
        </is>
      </c>
      <c r="I19" s="12" t="inlineStr">
        <is>
          <t>学者</t>
        </is>
      </c>
      <c r="J19" s="14" t="inlineStr">
        <is>
          <t>https://en.wikipedia.org/wiki/NIMBY</t>
        </is>
      </c>
      <c r="K19" s="12" t="n">
        <v>3</v>
      </c>
      <c r="L19" s="12" t="n">
        <v>6</v>
      </c>
      <c r="M19" s="12">
        <f>IF(AND(K19&lt;=5,L19&gt;=6),"公営の檻",IF(AND(K19&gt;=6,L19&gt;=6),"ハイテク室内飼い",IF(AND(K19&lt;=5,L19&lt;=5),"半野良(公)","半野良(私)")))</f>
        <v/>
      </c>
      <c r="N19" s="13" t="inlineStr">
        <is>
          <t>負担と便益が見える、対等な対話の場</t>
        </is>
      </c>
      <c r="O19" s="13" t="inlineStr">
        <is>
          <t>自分の声が設計に反映される、納得できる手続き環境</t>
        </is>
      </c>
      <c r="P19" s="13" t="inlineStr">
        <is>
          <t>「総論賛成・各論反対」の背景にある不安や不公平感を対話で可視化し、便益と負担の再配分・補償を含めて合意形成する。決定の早い段階から住民を巻き込み情報を透明化することで、反対のための反対でなく建設的な調整に向かう。当事者として代替案づくりに参加する回路を用意する。</t>
        </is>
      </c>
      <c r="Q19" s="13" t="inlineStr">
        <is>
          <t>補償前提が乱用・コスト増を招く(対策:公平な基準と第三者の調整を入れる)</t>
        </is>
      </c>
    </row>
    <row r="20">
      <c r="A20" s="9" t="n">
        <v>19</v>
      </c>
      <c r="B20" s="10" t="inlineStr">
        <is>
          <t>心理/政治</t>
        </is>
      </c>
      <c r="C20" s="10" t="inlineStr">
        <is>
          <t>政治的無力感(学習性無力感)</t>
        </is>
      </c>
      <c r="D20" s="10" t="inlineStr">
        <is>
          <t>小さな成功さがし中</t>
        </is>
      </c>
      <c r="E20" s="10" t="inlineStr">
        <is>
          <t>「どうせ変わらない」と諦観</t>
        </is>
      </c>
      <c r="F20" s="10" t="inlineStr">
        <is>
          <t>主体性を学習的に放棄</t>
        </is>
      </c>
      <c r="G20" s="10" t="inlineStr">
        <is>
          <t>飼い主=現状/権力。変えられるという感覚を手放す</t>
        </is>
      </c>
      <c r="H20" s="10" t="inlineStr">
        <is>
          <t>Martin Seligman 学習性無力感の研究(1967〜1975)</t>
        </is>
      </c>
      <c r="I20" s="9" t="inlineStr">
        <is>
          <t>学者</t>
        </is>
      </c>
      <c r="J20" s="11" t="inlineStr">
        <is>
          <t>https://en.wikipedia.org/wiki/Learned_helplessness</t>
        </is>
      </c>
      <c r="K20" s="9" t="n">
        <v>3</v>
      </c>
      <c r="L20" s="9" t="n">
        <v>8</v>
      </c>
      <c r="M20" s="9">
        <f>IF(AND(K20&lt;=5,L20&gt;=6),"公営の檻",IF(AND(K20&gt;=6,L20&gt;=6),"ハイテク室内飼い",IF(AND(K20&lt;=5,L20&lt;=5),"半野良(公)","半野良(私)")))</f>
        <v/>
      </c>
      <c r="N20" s="10" t="inlineStr">
        <is>
          <t>小さくても「変えられた」成功体験</t>
        </is>
      </c>
      <c r="O20" s="10" t="inlineStr">
        <is>
          <t>努力が結果に結びつく、応答性のある環境</t>
        </is>
      </c>
      <c r="P20" s="10" t="inlineStr">
        <is>
          <t>「どうせ変わらない」という学習性無力感は、小さな成功体験の積み重ねで更新できる。身近で結果の見えやすい課題から関与し、声を上げれば反応が返る応答的な仕組み(住民提案・即時フィードバック等)を用意する。個人の無力感を構造の問題と切り分け、効力感を再学習させる。</t>
        </is>
      </c>
      <c r="Q20" s="10" t="inlineStr">
        <is>
          <t>成功体験が伴わないと諦めが強化(対策:小さく確実に成果が出る課題から始める)</t>
        </is>
      </c>
    </row>
    <row r="21">
      <c r="A21" s="12" t="n">
        <v>20</v>
      </c>
      <c r="B21" s="13" t="inlineStr">
        <is>
          <t>文化・心理</t>
        </is>
      </c>
      <c r="C21" s="13" t="inlineStr">
        <is>
          <t>同調・空気読み</t>
        </is>
      </c>
      <c r="D21" s="13" t="inlineStr">
        <is>
          <t>気くばり上手</t>
        </is>
      </c>
      <c r="E21" s="13" t="inlineStr">
        <is>
          <t>周囲に合わせ判断を保留</t>
        </is>
      </c>
      <c r="F21" s="13" t="inlineStr">
        <is>
          <t>集団規範に自律的判断を預ける</t>
        </is>
      </c>
      <c r="G21" s="13" t="inlineStr">
        <is>
          <t>飼い主=空気/集団。自分の判断を手放す</t>
        </is>
      </c>
      <c r="H21" s="13" t="inlineStr">
        <is>
          <t>S.Asch 同調実験(1951)/山本七平『空気の研究』(1977)</t>
        </is>
      </c>
      <c r="I21" s="12" t="inlineStr">
        <is>
          <t>学者</t>
        </is>
      </c>
      <c r="J21" s="14" t="inlineStr">
        <is>
          <t>https://en.wikipedia.org/wiki/Asch_conformity_experiments</t>
        </is>
      </c>
      <c r="K21" s="12" t="n">
        <v>5</v>
      </c>
      <c r="L21" s="12" t="n">
        <v>7</v>
      </c>
      <c r="M21" s="12">
        <f>IF(AND(K21&lt;=5,L21&gt;=6),"公営の檻",IF(AND(K21&gt;=6,L21&gt;=6),"ハイテク室内飼い",IF(AND(K21&lt;=5,L21&lt;=5),"半野良(公)","半野良(私)")))</f>
        <v/>
      </c>
      <c r="N21" s="13" t="inlineStr">
        <is>
          <t>異論が歓迎される安心感</t>
        </is>
      </c>
      <c r="O21" s="13" t="inlineStr">
        <is>
          <t>多様な意見が尊重され、少数意見も守られる場</t>
        </is>
      </c>
      <c r="P21" s="13" t="inlineStr">
        <is>
          <t>同調圧力に流されず判断を保つには、異論を述べても安全だと感じられる場の設計が要る。匿名意見箱や少人数の対話、ファシリテーションで多様な声を引き出す。小さく異論を言う練習を重ね、「みんな」の正体を相対化することで、集団規範への過剰適応から判断の主権を取り戻す。</t>
        </is>
      </c>
      <c r="Q21" s="13" t="inlineStr">
        <is>
          <t>異論奨励が対立・分断を生む恐れ(対策:対話のルールと相互尊重の土台を整える)</t>
        </is>
      </c>
    </row>
    <row r="22">
      <c r="A22" s="9" t="n">
        <v>21</v>
      </c>
      <c r="B22" s="10" t="inlineStr">
        <is>
          <t>思想/心理</t>
        </is>
      </c>
      <c r="C22" s="10" t="inlineStr">
        <is>
          <t>権威主義的従順</t>
        </is>
      </c>
      <c r="D22" s="10" t="inlineStr">
        <is>
          <t>安心しておまかせ派</t>
        </is>
      </c>
      <c r="E22" s="10" t="inlineStr">
        <is>
          <t>強い権威に進んで従う</t>
        </is>
      </c>
      <c r="F22" s="10" t="inlineStr">
        <is>
          <t>自由の重荷を権威に明け渡す</t>
        </is>
      </c>
      <c r="G22" s="10" t="inlineStr">
        <is>
          <t>飼い主=権威。自由と責任を手放す</t>
        </is>
      </c>
      <c r="H22" s="10" t="inlineStr">
        <is>
          <t>E.Fromm『自由からの逃走』(1941)/Adorno『The Authoritarian Personality』(1950)</t>
        </is>
      </c>
      <c r="I22" s="9" t="inlineStr">
        <is>
          <t>学者</t>
        </is>
      </c>
      <c r="J22" s="11" t="inlineStr">
        <is>
          <t>https://en.wikipedia.org/wiki/Escape_from_Freedom</t>
        </is>
      </c>
      <c r="K22" s="9" t="n">
        <v>2</v>
      </c>
      <c r="L22" s="9" t="n">
        <v>8</v>
      </c>
      <c r="M22" s="9">
        <f>IF(AND(K22&lt;=5,L22&gt;=6),"公営の檻",IF(AND(K22&gt;=6,L22&gt;=6),"ハイテク室内飼い",IF(AND(K22&lt;=5,L22&lt;=5),"半野良(公)","半野良(私)")))</f>
        <v/>
      </c>
      <c r="N22" s="10" t="inlineStr">
        <is>
          <t>自分で決める自由がもたらす充実感</t>
        </is>
      </c>
      <c r="O22" s="10" t="inlineStr">
        <is>
          <t>多様性と異論が許容され、思考停止を強いない環境</t>
        </is>
      </c>
      <c r="P22" s="10" t="inlineStr">
        <is>
          <t>自由の不安から権威に逃げ込む傾向に対し、自分で考え決める経験を安全に積める場を用意する。情報を多面的に示し、単純な善悪二分や強い指導者への依存を相対化する。批判的思考やメディアリテラシーを育み、「従う安心」より「自律する充実」を体験させ、思考停止を防ぐ。</t>
        </is>
      </c>
      <c r="Q22" s="10" t="inlineStr">
        <is>
          <t>価値観の押し付けと受け取られる恐れ(対策:中立的な情報提供と対話に徹する)</t>
        </is>
      </c>
    </row>
    <row r="23">
      <c r="A23" s="12" t="n">
        <v>22</v>
      </c>
      <c r="B23" s="13" t="inlineStr">
        <is>
          <t>福祉・ケア</t>
        </is>
      </c>
      <c r="C23" s="13" t="inlineStr">
        <is>
          <t>生活保護の長期依存</t>
        </is>
      </c>
      <c r="D23" s="13" t="inlineStr">
        <is>
          <t>再スタート準備中</t>
        </is>
      </c>
      <c r="E23" s="13" t="inlineStr">
        <is>
          <t>制度給付で生計を維持し続ける</t>
        </is>
      </c>
      <c r="F23" s="13" t="inlineStr">
        <is>
          <t>公的扶助に生活を全面依存</t>
        </is>
      </c>
      <c r="G23" s="13" t="inlineStr">
        <is>
          <t>飼い主=公的扶助。自立への移行機会を手放す</t>
        </is>
      </c>
      <c r="H23" s="13" t="inlineStr">
        <is>
          <t>厚生労働省『被保護者調査』(各年)</t>
        </is>
      </c>
      <c r="I23" s="12" t="inlineStr">
        <is>
          <t>行政</t>
        </is>
      </c>
      <c r="J23" s="14" t="inlineStr">
        <is>
          <t>https://www.mhlw.go.jp/toukei/list/74-16.html</t>
        </is>
      </c>
      <c r="K23" s="12" t="n">
        <v>1</v>
      </c>
      <c r="L23" s="12" t="n">
        <v>8</v>
      </c>
      <c r="M23" s="12">
        <f>IF(AND(K23&lt;=5,L23&gt;=6),"公営の檻",IF(AND(K23&gt;=6,L23&gt;=6),"ハイテク室内飼い",IF(AND(K23&lt;=5,L23&lt;=5),"半野良(公)","半野良(私)")))</f>
        <v/>
      </c>
      <c r="N23" s="13" t="inlineStr">
        <is>
          <t>「働くと損」を解消する就労インセンティブ</t>
        </is>
      </c>
      <c r="O23" s="13" t="inlineStr">
        <is>
          <t>自立への移行が段階的で、失敗しても戻れる環境</t>
        </is>
      </c>
      <c r="P23" s="13" t="inlineStr">
        <is>
          <t>給付を否定せず、就労や中間的就労への移行を段階的に支援する。就労で給付が急減する「貧困の罠」を制度設計で緩和し、働くほど報われる仕組みにする。健康・スキル・人間関係の回復を伴走支援し、自立を強制でなく選択肢として提示することで、依存から段階的に脱する道を開く。</t>
        </is>
      </c>
      <c r="Q23" s="13" t="inlineStr">
        <is>
          <t>性急な打ち切りは困窮・健康悪化(対策:伴走支援と移行期の所得保障を併用)</t>
        </is>
      </c>
    </row>
    <row r="24">
      <c r="A24" s="9" t="n">
        <v>23</v>
      </c>
      <c r="B24" s="10" t="inlineStr">
        <is>
          <t>福祉・健康</t>
        </is>
      </c>
      <c r="C24" s="10" t="inlineStr">
        <is>
          <t>過剰受診・医療化</t>
        </is>
      </c>
      <c r="D24" s="10" t="inlineStr">
        <is>
          <t>健康だいじ派</t>
        </is>
      </c>
      <c r="E24" s="10" t="inlineStr">
        <is>
          <t>不調を全て医療に委ねる</t>
        </is>
      </c>
      <c r="F24" s="10" t="inlineStr">
        <is>
          <t>健康管理を医療システムに外注</t>
        </is>
      </c>
      <c r="G24" s="10" t="inlineStr">
        <is>
          <t>飼い主=医療。自分の身体を管理する力を手放す</t>
        </is>
      </c>
      <c r="H24" s="10" t="inlineStr">
        <is>
          <t>Ivan Illich『Medical Nemesis(脱病院化社会)』(1975)</t>
        </is>
      </c>
      <c r="I24" s="9" t="inlineStr">
        <is>
          <t>学者</t>
        </is>
      </c>
      <c r="J24" s="11" t="inlineStr">
        <is>
          <t>https://en.wikipedia.org/wiki/Medical_Nemesis</t>
        </is>
      </c>
      <c r="K24" s="9" t="n">
        <v>4</v>
      </c>
      <c r="L24" s="9" t="n">
        <v>7</v>
      </c>
      <c r="M24" s="9">
        <f>IF(AND(K24&lt;=5,L24&gt;=6),"公営の檻",IF(AND(K24&gt;=6,L24&gt;=6),"ハイテク室内飼い",IF(AND(K24&lt;=5,L24&lt;=5),"半野良(公)","半野良(私)")))</f>
        <v/>
      </c>
      <c r="N24" s="10" t="inlineStr">
        <is>
          <t>自分で不調を捉え対処できるセルフケア力</t>
        </is>
      </c>
      <c r="O24" s="10" t="inlineStr">
        <is>
          <t>信頼できる相談先があり、過剰診療を煽られない環境</t>
        </is>
      </c>
      <c r="P24" s="10" t="inlineStr">
        <is>
          <t>不調をすべて医療に委ねるのでなく、生活習慣の改善やセルフケアで一次対応する力を育む。信頼できるかかりつけ医や健康相談窓口を持ち、過剰検査・過剰投薬の構造を理解する。医療を適切に使いつつ、自分の身体を観察し管理する主体性を取り戻し、医療化への過度な依存を防ぐ。</t>
        </is>
      </c>
      <c r="Q24" s="10" t="inlineStr">
        <is>
          <t>受診抑制が重症化を招く恐れ(対策:危険兆候の周知と相談しやすい窓口の確保)</t>
        </is>
      </c>
    </row>
    <row r="25">
      <c r="A25" s="12" t="n">
        <v>24</v>
      </c>
      <c r="B25" s="13" t="inlineStr">
        <is>
          <t>福祉・ケア</t>
        </is>
      </c>
      <c r="C25" s="13" t="inlineStr">
        <is>
          <t>施設・社会的入院依存(高齢)</t>
        </is>
      </c>
      <c r="D25" s="13" t="inlineStr">
        <is>
          <t>安心ケアでのんびり中</t>
        </is>
      </c>
      <c r="E25" s="13" t="inlineStr">
        <is>
          <t>必要以上に施設・病院に依存</t>
        </is>
      </c>
      <c r="F25" s="13" t="inlineStr">
        <is>
          <t>ケアを制度に全面委託</t>
        </is>
      </c>
      <c r="G25" s="13" t="inlineStr">
        <is>
          <t>飼い主=ケア制度。地域での自立生活を手放す</t>
        </is>
      </c>
      <c r="H25" s="13" t="inlineStr">
        <is>
          <t>OECD Health Statistics/厚労省 介護給付費等実態統計</t>
        </is>
      </c>
      <c r="I25" s="12" t="inlineStr">
        <is>
          <t>行政/研究機関</t>
        </is>
      </c>
      <c r="J25" s="14" t="inlineStr">
        <is>
          <t>https://en.wikipedia.org/wiki/Elderly_care</t>
        </is>
      </c>
      <c r="K25" s="12" t="n">
        <v>3</v>
      </c>
      <c r="L25" s="12" t="n">
        <v>8</v>
      </c>
      <c r="M25" s="12">
        <f>IF(AND(K25&lt;=5,L25&gt;=6),"公営の檻",IF(AND(K25&gt;=6,L25&gt;=6),"ハイテク室内飼い",IF(AND(K25&lt;=5,L25&lt;=5),"半野良(公)","半野良(私)")))</f>
        <v/>
      </c>
      <c r="N25" s="13" t="inlineStr">
        <is>
          <t>「住み慣れた地域で暮らせる」在宅・地域ケア</t>
        </is>
      </c>
      <c r="O25" s="13" t="inlineStr">
        <is>
          <t>自立度に応じた支援が選べ、役割を持てる環境</t>
        </is>
      </c>
      <c r="P25" s="13" t="inlineStr">
        <is>
          <t>必要以上の施設・入院依存を避け、在宅・地域包括ケアで自立度を保つ。本人の残存能力を活かす役割や日課を用意し、過剰なケアによる廃用を防ぐ。介護予防・リハビリ・地域の通いの場を組み合わせ、「お世話される存在」から「地域で暮らす主体」へと支援の方向を転換する。</t>
        </is>
      </c>
      <c r="Q25" s="13" t="inlineStr">
        <is>
          <t>在宅移行は家族・地域に負担集中(対策:介護サービスと地域資源で支援を分散)</t>
        </is>
      </c>
    </row>
    <row r="26">
      <c r="A26" s="9" t="n">
        <v>25</v>
      </c>
      <c r="B26" s="10" t="inlineStr">
        <is>
          <t>関係・家族</t>
        </is>
      </c>
      <c r="C26" s="10" t="inlineStr">
        <is>
          <t>過保護の子(ヘリコプターペアレント下)</t>
        </is>
      </c>
      <c r="D26" s="10" t="inlineStr">
        <is>
          <t>のびのび成長中</t>
        </is>
      </c>
      <c r="E26" s="10" t="inlineStr">
        <is>
          <t>親が先回りし失敗をさせない</t>
        </is>
      </c>
      <c r="F26" s="10" t="inlineStr">
        <is>
          <t>自立機会を奪われ家庭に飼われる</t>
        </is>
      </c>
      <c r="G26" s="10" t="inlineStr">
        <is>
          <t>飼い主=過保護な親。試行錯誤の自由を手放す</t>
        </is>
      </c>
      <c r="H26" s="10" t="inlineStr">
        <is>
          <t>Lukianoff &amp; Haidt『The Coddling of the American Mind』(2018)</t>
        </is>
      </c>
      <c r="I26" s="9" t="inlineStr">
        <is>
          <t>学者</t>
        </is>
      </c>
      <c r="J26" s="11" t="inlineStr">
        <is>
          <t>https://en.wikipedia.org/wiki/The_Coddling_of_the_American_Mind</t>
        </is>
      </c>
      <c r="K26" s="9" t="n">
        <v>7</v>
      </c>
      <c r="L26" s="9" t="n">
        <v>8</v>
      </c>
      <c r="M26" s="9">
        <f>IF(AND(K26&lt;=5,L26&gt;=6),"公営の檻",IF(AND(K26&gt;=6,L26&gt;=6),"ハイテク室内飼い",IF(AND(K26&lt;=5,L26&lt;=5),"半野良(公)","半野良(私)")))</f>
        <v/>
      </c>
      <c r="N26" s="10" t="inlineStr">
        <is>
          <t>自分で挑戦し失敗できる安全な機会</t>
        </is>
      </c>
      <c r="O26" s="10" t="inlineStr">
        <is>
          <t>失敗が許容され、見守られながら自己決定できる環境</t>
        </is>
      </c>
      <c r="P26" s="10" t="inlineStr">
        <is>
          <t>親の先回りを意図的に減らし、子に試行錯誤と失敗の機会を与える。小さな自己決定(持ち物・予定・進路の選択)を任せ、結果の責任を引き受ける経験を積ませる。過保護は安全の代わりに自立と回復力を奪うことを共有し、見守りつつ手を出さない関わりへと親の側も変える。</t>
        </is>
      </c>
      <c r="Q26" s="10" t="inlineStr">
        <is>
          <t>急な放任は不安・失敗の過大リスク(対策:年齢に応じ段階的に裁量を広げる)</t>
        </is>
      </c>
    </row>
    <row r="27">
      <c r="A27" s="12" t="n">
        <v>26</v>
      </c>
      <c r="B27" s="13" t="inlineStr">
        <is>
          <t>文化・心理</t>
        </is>
      </c>
      <c r="C27" s="13" t="inlineStr">
        <is>
          <t>コンフォートゾーン固着</t>
        </is>
      </c>
      <c r="D27" s="13" t="inlineStr">
        <is>
          <t>居心地キープ中</t>
        </is>
      </c>
      <c r="E27" s="13" t="inlineStr">
        <is>
          <t>慣れた環境から出ない</t>
        </is>
      </c>
      <c r="F27" s="13" t="inlineStr">
        <is>
          <t>安全と引換えに成長を放棄</t>
        </is>
      </c>
      <c r="G27" s="13" t="inlineStr">
        <is>
          <t>飼い主=快適な環境。挑戦と成長を手放す</t>
        </is>
      </c>
      <c r="H27" s="13" t="inlineStr">
        <is>
          <t>Yerkes-Dodson法則(1908)/J.Bardwick『Danger in the Comfort Zone』(1991)</t>
        </is>
      </c>
      <c r="I27" s="12" t="inlineStr">
        <is>
          <t>学者</t>
        </is>
      </c>
      <c r="J27" s="14" t="inlineStr">
        <is>
          <t>https://en.wikipedia.org/wiki/Yerkes%E2%80%93Dodson_law</t>
        </is>
      </c>
      <c r="K27" s="12" t="n">
        <v>6</v>
      </c>
      <c r="L27" s="12" t="n">
        <v>6</v>
      </c>
      <c r="M27" s="12">
        <f>IF(AND(K27&lt;=5,L27&gt;=6),"公営の檻",IF(AND(K27&gt;=6,L27&gt;=6),"ハイテク室内飼い",IF(AND(K27&lt;=5,L27&lt;=5),"半野良(公)","半野良(私)")))</f>
        <v/>
      </c>
      <c r="N27" s="13" t="inlineStr">
        <is>
          <t>少しの挑戦がもたらす成長の手応え</t>
        </is>
      </c>
      <c r="O27" s="13" t="inlineStr">
        <is>
          <t>安全基地を保ちつつ、適度な負荷に挑める環境</t>
        </is>
      </c>
      <c r="P27" s="13" t="inlineStr">
        <is>
          <t>快適圏に留まる傾向に対し、安全基地を残しながら適度な負荷の挑戦を少しずつ加える。大きな飛躍でなく達成可能な小さな目標で成功体験を積み、挑戦への耐性を育てる。変化を「喪失の危険」でなく「成長の機会」と捉え直し、快適圏を縮小でなく拡張する方向に動機づける。</t>
        </is>
      </c>
      <c r="Q27" s="13" t="inlineStr">
        <is>
          <t>過度な負荷は萎縮・燃え尽き(対策:難易度を段階調整し小さく試す)</t>
        </is>
      </c>
    </row>
    <row r="28">
      <c r="A28" s="9" t="n">
        <v>27</v>
      </c>
      <c r="B28" s="10" t="inlineStr">
        <is>
          <t>文化・心理</t>
        </is>
      </c>
      <c r="C28" s="10" t="inlineStr">
        <is>
          <t>安定至上(大企業・公務員志向)</t>
        </is>
      </c>
      <c r="D28" s="10" t="inlineStr">
        <is>
          <t>安定重視のしっかり者</t>
        </is>
      </c>
      <c r="E28" s="10" t="inlineStr">
        <is>
          <t>失敗回避で安定を最優先</t>
        </is>
      </c>
      <c r="F28" s="10" t="inlineStr">
        <is>
          <t>組織の庇護に人生を委ねる</t>
        </is>
      </c>
      <c r="G28" s="10" t="inlineStr">
        <is>
          <t>飼い主=安定した組織。自律的キャリアを手放す</t>
        </is>
      </c>
      <c r="H28" s="10" t="inlineStr">
        <is>
          <t>リスク回避選好・キャリア研究</t>
        </is>
      </c>
      <c r="I28" s="9" t="inlineStr">
        <is>
          <t>研究機関</t>
        </is>
      </c>
      <c r="J28" s="11" t="inlineStr">
        <is>
          <t>https://en.wikipedia.org/wiki/Risk_aversion</t>
        </is>
      </c>
      <c r="K28" s="9" t="n">
        <v>5</v>
      </c>
      <c r="L28" s="9" t="n">
        <v>6</v>
      </c>
      <c r="M28" s="9">
        <f>IF(AND(K28&lt;=5,L28&gt;=6),"公営の檻",IF(AND(K28&gt;=6,L28&gt;=6),"ハイテク室内飼い",IF(AND(K28&lt;=5,L28&lt;=5),"半野良(公)","半野良(私)")))</f>
        <v/>
      </c>
      <c r="N28" s="10" t="inlineStr">
        <is>
          <t>「どこでも通用する力」がもたらす別種の安心</t>
        </is>
      </c>
      <c r="O28" s="10" t="inlineStr">
        <is>
          <t>安定の中でも挑戦と学びが推奨される環境</t>
        </is>
      </c>
      <c r="P28" s="10" t="inlineStr">
        <is>
          <t>安定そのものは悪でないが、組織への過度の依存はリスクにもなる。組織内外で通用する専門性・人脈・健康という「持ち運べる安心」を主体的に蓄える。安定を土台に小さな挑戦や副業・学び直しを重ね、環境変化に適応できる力を保つことで、庇護依存から自律的キャリアへ移る。</t>
        </is>
      </c>
      <c r="Q28" s="10" t="inlineStr">
        <is>
          <t>過度な不安煽りは離職・動揺(対策:安定を否定せず選択肢を増やす提案に留める)</t>
        </is>
      </c>
    </row>
    <row r="29">
      <c r="A29" s="12" t="n">
        <v>28</v>
      </c>
      <c r="B29" s="13" t="inlineStr">
        <is>
          <t>文化・心理</t>
        </is>
      </c>
      <c r="C29" s="13" t="inlineStr">
        <is>
          <t>決断疲れ・おすすめ任せ</t>
        </is>
      </c>
      <c r="D29" s="13" t="inlineStr">
        <is>
          <t>まかせ上手</t>
        </is>
      </c>
      <c r="E29" s="13" t="inlineStr">
        <is>
          <t>選ぶのが面倒で人/AIに任せる</t>
        </is>
      </c>
      <c r="F29" s="13" t="inlineStr">
        <is>
          <t>意思決定を放棄し提案に従う</t>
        </is>
      </c>
      <c r="G29" s="13" t="inlineStr">
        <is>
          <t>飼い主=推薦者。選ぶ力を手放す</t>
        </is>
      </c>
      <c r="H29" s="13" t="inlineStr">
        <is>
          <t>R.Baumeister 自我消耗の研究(1998)</t>
        </is>
      </c>
      <c r="I29" s="12" t="inlineStr">
        <is>
          <t>学者</t>
        </is>
      </c>
      <c r="J29" s="14" t="inlineStr">
        <is>
          <t>https://en.wikipedia.org/wiki/Ego_depletion</t>
        </is>
      </c>
      <c r="K29" s="12" t="n">
        <v>7</v>
      </c>
      <c r="L29" s="12" t="n">
        <v>6</v>
      </c>
      <c r="M29" s="12">
        <f>IF(AND(K29&lt;=5,L29&gt;=6),"公営の檻",IF(AND(K29&gt;=6,L29&gt;=6),"ハイテク室内飼い",IF(AND(K29&lt;=5,L29&lt;=5),"半野良(公)","半野良(私)")))</f>
        <v/>
      </c>
      <c r="N29" s="13" t="inlineStr">
        <is>
          <t>「自分で選んでよかった」という納得感</t>
        </is>
      </c>
      <c r="O29" s="13" t="inlineStr">
        <is>
          <t>重要な選択に集中でき、些事は委任できる環境</t>
        </is>
      </c>
      <c r="P29" s="13" t="inlineStr">
        <is>
          <t>意思決定を全て他者やAIに委ねるのでなく、重要な選択は自分で行い、些事のみ委任する切り分けを持つ。決断疲れ(自我消耗)を防ぐため選択肢を絞り込み、判断のルールやルーティンでエネルギーを温存する。自分の価値観に照らして選ぶ訓練を重ね、選ぶ力を保つ。</t>
        </is>
      </c>
      <c r="Q29" s="13" t="inlineStr">
        <is>
          <t>委任の線引き失敗で主体性低下(対策:重要事項リストを決め委任範囲を明確化)</t>
        </is>
      </c>
    </row>
    <row r="30">
      <c r="A30" s="9" t="n">
        <v>29</v>
      </c>
      <c r="B30" s="10" t="inlineStr">
        <is>
          <t>文化・心理</t>
        </is>
      </c>
      <c r="C30" s="10" t="inlineStr">
        <is>
          <t>自己責任論の内面化・諦観</t>
        </is>
      </c>
      <c r="D30" s="10" t="inlineStr">
        <is>
          <t>がんばり屋さん</t>
        </is>
      </c>
      <c r="E30" s="10" t="inlineStr">
        <is>
          <t>構造問題も自分のせいと諦める</t>
        </is>
      </c>
      <c r="F30" s="10" t="inlineStr">
        <is>
          <t>変革意欲を手放し現状に適応</t>
        </is>
      </c>
      <c r="G30" s="10" t="inlineStr">
        <is>
          <t>飼い主=現状。社会を変える発想を手放す</t>
        </is>
      </c>
      <c r="H30" s="10" t="inlineStr">
        <is>
          <t>M.Lerner 公正世界仮説(1980)</t>
        </is>
      </c>
      <c r="I30" s="9" t="inlineStr">
        <is>
          <t>学者</t>
        </is>
      </c>
      <c r="J30" s="11" t="inlineStr">
        <is>
          <t>https://en.wikipedia.org/wiki/Just-world_hypothesis</t>
        </is>
      </c>
      <c r="K30" s="9" t="n">
        <v>4</v>
      </c>
      <c r="L30" s="9" t="n">
        <v>7</v>
      </c>
      <c r="M30" s="9">
        <f>IF(AND(K30&lt;=5,L30&gt;=6),"公営の檻",IF(AND(K30&gt;=6,L30&gt;=6),"ハイテク室内飼い",IF(AND(K30&lt;=5,L30&lt;=5),"半野良(公)","半野良(私)")))</f>
        <v/>
      </c>
      <c r="N30" s="10" t="inlineStr">
        <is>
          <t>個人と構造を切り分ける視点</t>
        </is>
      </c>
      <c r="O30" s="10" t="inlineStr">
        <is>
          <t>声を上げても責められない、連帯できる環境</t>
        </is>
      </c>
      <c r="P30" s="10" t="inlineStr">
        <is>
          <t>構造的な問題まで「自分のせい」と抱え込む傾向に対し、個人の努力と社会の仕組みを切り分ける視点を持つ。同じ困りごとを抱える人とつながり、声を上げる回路(相談・当事者運動・政策提言)を知る。諦観を「適応」でなく「沈黙させられた状態」と捉え直し、変えられる部分に働きかける。</t>
        </is>
      </c>
      <c r="Q30" s="10" t="inlineStr">
        <is>
          <t>構造論が個人の努力軽視に振れる恐れ(対策:自助と社会的支援の両輪で捉える)</t>
        </is>
      </c>
    </row>
    <row r="31">
      <c r="A31" s="12" t="n">
        <v>30</v>
      </c>
      <c r="B31" s="13" t="inlineStr">
        <is>
          <t>文化・心理</t>
        </is>
      </c>
      <c r="C31" s="13" t="inlineStr">
        <is>
          <t>推し活没入(現実退避)</t>
        </is>
      </c>
      <c r="D31" s="13" t="inlineStr">
        <is>
          <t>好きに一直線</t>
        </is>
      </c>
      <c r="E31" s="13" t="inlineStr">
        <is>
          <t>推しに時間と感情を集中</t>
        </is>
      </c>
      <c r="F31" s="13" t="inlineStr">
        <is>
          <t>現実課題から快適に退避</t>
        </is>
      </c>
      <c r="G31" s="13" t="inlineStr">
        <is>
          <t>飼い主=推し/コンテンツ。現実の主導権を手放す</t>
        </is>
      </c>
      <c r="H31" s="13" t="inlineStr">
        <is>
          <t>Horton &amp; Wohl パラソーシャル関係(1956)</t>
        </is>
      </c>
      <c r="I31" s="12" t="inlineStr">
        <is>
          <t>学者</t>
        </is>
      </c>
      <c r="J31" s="14" t="inlineStr">
        <is>
          <t>https://en.wikipedia.org/wiki/Parasocial_interaction</t>
        </is>
      </c>
      <c r="K31" s="12" t="n">
        <v>8</v>
      </c>
      <c r="L31" s="12" t="n">
        <v>6</v>
      </c>
      <c r="M31" s="12">
        <f>IF(AND(K31&lt;=5,L31&gt;=6),"公営の檻",IF(AND(K31&gt;=6,L31&gt;=6),"ハイテク室内飼い",IF(AND(K31&lt;=5,L31&lt;=5),"半野良(公)","半野良(私)")))</f>
        <v/>
      </c>
      <c r="N31" s="13" t="inlineStr">
        <is>
          <t>熱量を現実の創作・活動に還流する場</t>
        </is>
      </c>
      <c r="O31" s="13" t="inlineStr">
        <is>
          <t>推し活と現実が両立し、仲間とつながれる環境</t>
        </is>
      </c>
      <c r="P31" s="13" t="inlineStr">
        <is>
          <t>推し活の熱量自体は肯定しつつ、現実逃避に偏らないようバランスを取る。推しから得るエネルギーや学びを、自分の創作・仕事・地域活動にも還流させる。ファンコミュニティでの企画運営や発信を通じて、受け身の消費から主体的な活動へつなげ、現実の課題に向き合う力を養う。</t>
        </is>
      </c>
      <c r="Q31" s="13" t="inlineStr">
        <is>
          <t>否定は反発・依存強化(対策:推し活を否定せず現実側の魅力を増やす)</t>
        </is>
      </c>
    </row>
    <row r="32">
      <c r="A32" s="9" t="n">
        <v>31</v>
      </c>
      <c r="B32" s="10" t="inlineStr">
        <is>
          <t>文化・心理</t>
        </is>
      </c>
      <c r="C32" s="10" t="inlineStr">
        <is>
          <t>ミニマリスト(他者インフラ依存)</t>
        </is>
      </c>
      <c r="D32" s="10" t="inlineStr">
        <is>
          <t>身軽名人</t>
        </is>
      </c>
      <c r="E32" s="10" t="inlineStr">
        <is>
          <t>持たない暮らしを徹底</t>
        </is>
      </c>
      <c r="F32" s="10" t="inlineStr">
        <is>
          <t>所有を手放し社会インフラに依存</t>
        </is>
      </c>
      <c r="G32" s="10" t="inlineStr">
        <is>
          <t>飼い主=社会インフラ。自前の備えを手放す</t>
        </is>
      </c>
      <c r="H32" s="10" t="inlineStr">
        <is>
          <t>佐々木典士『ぼくたちに、もうモノは必要ない。』(2015)</t>
        </is>
      </c>
      <c r="I32" s="9" t="inlineStr">
        <is>
          <t>著述</t>
        </is>
      </c>
      <c r="J32" s="11" t="inlineStr">
        <is>
          <t>https://ja.wikipedia.org/wiki/ミニマリスト</t>
        </is>
      </c>
      <c r="K32" s="9" t="n">
        <v>7</v>
      </c>
      <c r="L32" s="9" t="n">
        <v>5</v>
      </c>
      <c r="M32" s="9">
        <f>IF(AND(K32&lt;=5,L32&gt;=6),"公営の檻",IF(AND(K32&gt;=6,L32&gt;=6),"ハイテク室内飼い",IF(AND(K32&lt;=5,L32&lt;=5),"半野良(公)","半野良(私)")))</f>
        <v/>
      </c>
      <c r="N32" s="10" t="inlineStr">
        <is>
          <t>「最小限でも自律できる」備えの安心</t>
        </is>
      </c>
      <c r="O32" s="10" t="inlineStr">
        <is>
          <t>身軽さを保ちつつ、要所は自前で握れる環境</t>
        </is>
      </c>
      <c r="P32" s="10" t="inlineStr">
        <is>
          <t>持たない暮らしを徹底しつつ、社会インフラ停止時にも自律できる最低限の備え(食料・現金・スキル)は確保する。「持たない自由」が「他者依存」に転じていないか点検し、所有を減らす目的を消費批判や身軽さといった自分の価値観に照らして明確にする。身軽さと自立の両立を図る。</t>
        </is>
      </c>
      <c r="Q32" s="10" t="inlineStr">
        <is>
          <t>過度な備えはミニマリズムと矛盾(対策:重要度で線引きし最小限に絞る)</t>
        </is>
      </c>
    </row>
    <row r="33">
      <c r="A33" s="12" t="n">
        <v>32</v>
      </c>
      <c r="B33" s="13" t="inlineStr">
        <is>
          <t>身体・健康</t>
        </is>
      </c>
      <c r="C33" s="13" t="inlineStr">
        <is>
          <t>座りっぱなし・室内完結(身体不活動)</t>
        </is>
      </c>
      <c r="D33" s="13" t="inlineStr">
        <is>
          <t>おこもりリラックス中</t>
        </is>
      </c>
      <c r="E33" s="13" t="inlineStr">
        <is>
          <t>一日中座って動かない・室内で完結</t>
        </is>
      </c>
      <c r="F33" s="13" t="inlineStr">
        <is>
          <t>身体能力を生活様式に明け渡す</t>
        </is>
      </c>
      <c r="G33" s="13" t="inlineStr">
        <is>
          <t>飼い主=座位中心の生活。身体の自律を手放す</t>
        </is>
      </c>
      <c r="H33" s="13" t="inlineStr">
        <is>
          <t>WHO『身体活動・座位行動ガイドライン』(2020)/WHO 身体不活動の警告(2022)</t>
        </is>
      </c>
      <c r="I33" s="12" t="inlineStr">
        <is>
          <t>行政/研究機関</t>
        </is>
      </c>
      <c r="J33" s="14" t="inlineStr">
        <is>
          <t>https://www.who.int/publications/i/item/9789240015128</t>
        </is>
      </c>
      <c r="K33" s="12" t="n">
        <v>6</v>
      </c>
      <c r="L33" s="12" t="n">
        <v>6</v>
      </c>
      <c r="M33" s="12">
        <f>IF(AND(K33&lt;=5,L33&gt;=6),"公営の檻",IF(AND(K33&gt;=6,L33&gt;=6),"ハイテク室内飼い",IF(AND(K33&lt;=5,L33&lt;=5),"半野良(公)","半野良(私)")))</f>
        <v/>
      </c>
      <c r="N33" s="13" t="inlineStr">
        <is>
          <t>日常に溶け込む「ついで運動」の手軽さ</t>
        </is>
      </c>
      <c r="O33" s="13" t="inlineStr">
        <is>
          <t>自然に体を動かせる、歩きたくなる環境</t>
        </is>
      </c>
      <c r="P33" s="13" t="inlineStr">
        <is>
          <t>長時間の座位・室内完結を避け、こまめな中断と日常的な身体活動で機能を維持する。階段利用・徒歩移動・立ち作業など「ついで運動」を生活に組み込み、運動を特別な努力でなく習慣にする。歩きやすい環境づくりや仲間との活動で継続性を高め、身体の自律と健康を守る。</t>
        </is>
      </c>
      <c r="Q33" s="13" t="inlineStr">
        <is>
          <t>急な負荷は怪我リスク(対策:強度を段階的に上げ無理なく継続)</t>
        </is>
      </c>
    </row>
    <row r="34">
      <c r="A34" s="9" t="n">
        <v>33</v>
      </c>
      <c r="B34" s="10" t="inlineStr">
        <is>
          <t>身体・健康</t>
        </is>
      </c>
      <c r="C34" s="10" t="inlineStr">
        <is>
          <t>超加工食品依存</t>
        </is>
      </c>
      <c r="D34" s="10" t="inlineStr">
        <is>
          <t>時短ごはん派</t>
        </is>
      </c>
      <c r="E34" s="10" t="inlineStr">
        <is>
          <t>調理せず加工食品で済ます</t>
        </is>
      </c>
      <c r="F34" s="10" t="inlineStr">
        <is>
          <t>食を産業に全面依存</t>
        </is>
      </c>
      <c r="G34" s="10" t="inlineStr">
        <is>
          <t>飼い主=食品産業。食の自律を手放す</t>
        </is>
      </c>
      <c r="H34" s="10" t="inlineStr">
        <is>
          <t>Monteiro NOVA分類/超加工食品の健康影響研究(BMJ等)</t>
        </is>
      </c>
      <c r="I34" s="9" t="inlineStr">
        <is>
          <t>研究機関</t>
        </is>
      </c>
      <c r="J34" s="11" t="inlineStr">
        <is>
          <t>https://en.wikipedia.org/wiki/Ultra-processed_food</t>
        </is>
      </c>
      <c r="K34" s="9" t="n">
        <v>8</v>
      </c>
      <c r="L34" s="9" t="n">
        <v>6</v>
      </c>
      <c r="M34" s="9">
        <f>IF(AND(K34&lt;=5,L34&gt;=6),"公営の檻",IF(AND(K34&gt;=6,L34&gt;=6),"ハイテク室内飼い",IF(AND(K34&lt;=5,L34&lt;=5),"半野良(公)","半野良(私)")))</f>
        <v/>
      </c>
      <c r="N34" s="10" t="inlineStr">
        <is>
          <t>手軽でおいしい「ちょい自炊」の成功体験</t>
        </is>
      </c>
      <c r="O34" s="10" t="inlineStr">
        <is>
          <t>自炊しやすく、素材食が手に入りやすい環境</t>
        </is>
      </c>
      <c r="P34" s="10" t="inlineStr">
        <is>
          <t>超加工食品の利便を活かしつつ、自炊・素材食を一定割合確保する。完璧な自炊でなく簡単な調理や下処理済み食材の活用から始め、食を産業に丸投げしない技能を保つ。栄養と食費の自己管理という主体性を取り戻し、健康リスク(肥満・生活習慣病)を抑えつつ無理なく食生活を整える。</t>
        </is>
      </c>
      <c r="Q34" s="10" t="inlineStr">
        <is>
          <t>自炊負担で挫折しやすい(対策:作り置き・簡便調理で続けられる形にする)</t>
        </is>
      </c>
    </row>
    <row r="35">
      <c r="A35" s="12" t="n">
        <v>34</v>
      </c>
      <c r="B35" s="13" t="inlineStr">
        <is>
          <t>身体・健康</t>
        </is>
      </c>
      <c r="C35" s="13" t="inlineStr">
        <is>
          <t>快適環境最適化マニア</t>
        </is>
      </c>
      <c r="D35" s="13" t="inlineStr">
        <is>
          <t>快適づくりの達人</t>
        </is>
      </c>
      <c r="E35" s="13" t="inlineStr">
        <is>
          <t>空調・睡眠・栄養を機器で最適化</t>
        </is>
      </c>
      <c r="F35" s="13" t="inlineStr">
        <is>
          <t>自己調整能力を機器に委譲</t>
        </is>
      </c>
      <c r="G35" s="13" t="inlineStr">
        <is>
          <t>飼い主=最適化機器。身体の適応力を手放す</t>
        </is>
      </c>
      <c r="H35" s="13" t="inlineStr">
        <is>
          <t>Quantified Self 運動/生体最適化研究</t>
        </is>
      </c>
      <c r="I35" s="12" t="inlineStr">
        <is>
          <t>研究機関/著述</t>
        </is>
      </c>
      <c r="J35" s="14" t="inlineStr">
        <is>
          <t>https://en.wikipedia.org/wiki/Quantified_self</t>
        </is>
      </c>
      <c r="K35" s="12" t="n">
        <v>9</v>
      </c>
      <c r="L35" s="12" t="n">
        <v>6</v>
      </c>
      <c r="M35" s="12">
        <f>IF(AND(K35&lt;=5,L35&gt;=6),"公営の檻",IF(AND(K35&gt;=6,L35&gt;=6),"ハイテク室内飼い",IF(AND(K35&lt;=5,L35&lt;=5),"半野良(公)","半野良(私)")))</f>
        <v/>
      </c>
      <c r="N35" s="13" t="inlineStr">
        <is>
          <t>機器に頼らず整える「素の調整力」</t>
        </is>
      </c>
      <c r="O35" s="13" t="inlineStr">
        <is>
          <t>テクノロジーを使いつつ、自然な適応力も鍛える環境</t>
        </is>
      </c>
      <c r="P35" s="13" t="inlineStr">
        <is>
          <t>空調・睡眠・栄養を機器で最適化する一方、機器なしでも自分を整える適応力を残す。データ計測を自己理解に活かしつつ数値に縛られすぎず、暑さ寒さや空腹など自然な身体感覚も保つ。テクノロジーを「補助」と位置づけ、過剰な最適化依存が身体の調整能力を退化させないよう注意する。</t>
        </is>
      </c>
      <c r="Q35" s="13" t="inlineStr">
        <is>
          <t>計測過多が不安・強迫を生む(対策:測る項目を絞り目的を明確にする)</t>
        </is>
      </c>
    </row>
    <row r="36">
      <c r="A36" s="9" t="n">
        <v>35</v>
      </c>
      <c r="B36" s="10" t="inlineStr">
        <is>
          <t>関係・家族</t>
        </is>
      </c>
      <c r="C36" s="10" t="inlineStr">
        <is>
          <t>孤立だが快適(つながり放棄)</t>
        </is>
      </c>
      <c r="D36" s="10" t="inlineStr">
        <is>
          <t>ソロ充実タイプ</t>
        </is>
      </c>
      <c r="E36" s="10" t="inlineStr">
        <is>
          <t>人付き合いを避け一人で完結</t>
        </is>
      </c>
      <c r="F36" s="10" t="inlineStr">
        <is>
          <t>関係の労力を回避し孤立に安住</t>
        </is>
      </c>
      <c r="G36" s="10" t="inlineStr">
        <is>
          <t>飼い主=快適な孤立。関係資本を手放す</t>
        </is>
      </c>
      <c r="H36" s="10" t="inlineStr">
        <is>
          <t>英 孤独担当大臣設置(2018)/日本 孤独・孤立対策担当(2021)</t>
        </is>
      </c>
      <c r="I36" s="9" t="inlineStr">
        <is>
          <t>行政</t>
        </is>
      </c>
      <c r="J36" s="11" t="inlineStr">
        <is>
          <t>https://en.wikipedia.org/wiki/Minister_for_Loneliness</t>
        </is>
      </c>
      <c r="K36" s="9" t="n">
        <v>6</v>
      </c>
      <c r="L36" s="9" t="n">
        <v>7</v>
      </c>
      <c r="M36" s="9">
        <f>IF(AND(K36&lt;=5,L36&gt;=6),"公営の檻",IF(AND(K36&gt;=6,L36&gt;=6),"ハイテク室内飼い",IF(AND(K36&lt;=5,L36&lt;=5),"半野良(公)","半野良(私)")))</f>
        <v/>
      </c>
      <c r="N36" s="10" t="inlineStr">
        <is>
          <t>負担の少ない「弱いつながり」の心地よさ</t>
        </is>
      </c>
      <c r="O36" s="10" t="inlineStr">
        <is>
          <t>干渉されず、必要な時だけつながれる環境</t>
        </is>
      </c>
      <c r="P36" s="10" t="inlineStr">
        <is>
          <t>快適な孤立と孤独は別物。干渉の少ない「弱いつながり」(趣味の集まり・オンラインの緩い関係・行きつけの場)を意図的に維持し、いざという時に頼れる関係資本を確保する。孤立を選ぶ自由を尊重しつつ、健康・防災・困窮のリスクを踏まえ、最低限の社会接点だけは残すよう促す。</t>
        </is>
      </c>
      <c r="Q36" s="10" t="inlineStr">
        <is>
          <t>つながり強制は逆効果・負担(対策:強制せず低負荷の接点を選択肢として用意)</t>
        </is>
      </c>
    </row>
    <row r="37">
      <c r="A37" s="12" t="n">
        <v>36</v>
      </c>
      <c r="B37" s="13" t="inlineStr">
        <is>
          <t>関係・家族</t>
        </is>
      </c>
      <c r="C37" s="13" t="inlineStr">
        <is>
          <t>完全専業依存(配偶者扶養)</t>
        </is>
      </c>
      <c r="D37" s="13" t="inlineStr">
        <is>
          <t>家庭を支える派</t>
        </is>
      </c>
      <c r="E37" s="13" t="inlineStr">
        <is>
          <t>配偶者に経済を全面依存</t>
        </is>
      </c>
      <c r="F37" s="13" t="inlineStr">
        <is>
          <t>家計の主体性を手放す</t>
        </is>
      </c>
      <c r="G37" s="13" t="inlineStr">
        <is>
          <t>飼い主=配偶者。経済的自立の選択肢を手放す</t>
        </is>
      </c>
      <c r="H37" s="13" t="inlineStr">
        <is>
          <t>内閣府『無償労働(家事等)の貨幣評価』推計</t>
        </is>
      </c>
      <c r="I37" s="12" t="inlineStr">
        <is>
          <t>行政</t>
        </is>
      </c>
      <c r="J37" s="14" t="inlineStr">
        <is>
          <t>https://en.wikipedia.org/wiki/Unpaid_work</t>
        </is>
      </c>
      <c r="K37" s="12" t="n">
        <v>8</v>
      </c>
      <c r="L37" s="12" t="n">
        <v>7</v>
      </c>
      <c r="M37" s="12">
        <f>IF(AND(K37&lt;=5,L37&gt;=6),"公営の檻",IF(AND(K37&gt;=6,L37&gt;=6),"ハイテク室内飼い",IF(AND(K37&lt;=5,L37&lt;=5),"半野良(公)","半野良(私)")))</f>
        <v/>
      </c>
      <c r="N37" s="13" t="inlineStr">
        <is>
          <t>「いつでも独り立ちできる」選択肢の安心</t>
        </is>
      </c>
      <c r="O37" s="13" t="inlineStr">
        <is>
          <t>役割分担が対等で、いつでも再就労できる環境</t>
        </is>
      </c>
      <c r="P37" s="13" t="inlineStr">
        <is>
          <t>配偶者への全面的な経済依存はリスクにもなる。家事・育児・介護の価値を正当に評価しつつ、いざという時に独立して生きられる選択肢(就労可能なスキル・資格・社会接点)を保持する。家計や資産の状況を把握し、夫婦の役割分担を対等な合意の上に置き、経済的自律の余地を残す。</t>
        </is>
      </c>
      <c r="Q37" s="13" t="inlineStr">
        <is>
          <t>自立要求が関係不和を招く恐れ(対策:強制でなく選択肢確保として位置づける)</t>
        </is>
      </c>
    </row>
    <row r="38">
      <c r="A38" s="9" t="n">
        <v>37</v>
      </c>
      <c r="B38" s="10" t="inlineStr">
        <is>
          <t>思想・未来</t>
        </is>
      </c>
      <c r="C38" s="10" t="inlineStr">
        <is>
          <t>監視に喜んで従う</t>
        </is>
      </c>
      <c r="D38" s="10" t="inlineStr">
        <is>
          <t>便利さ大好き派</t>
        </is>
      </c>
      <c r="E38" s="10" t="inlineStr">
        <is>
          <t>利便と引換えにデータを差し出す</t>
        </is>
      </c>
      <c r="F38" s="10" t="inlineStr">
        <is>
          <t>監視に進んで身を委ねる</t>
        </is>
      </c>
      <c r="G38" s="10" t="inlineStr">
        <is>
          <t>飼い主=プラットフォーム資本。自己情報の主権を手放す</t>
        </is>
      </c>
      <c r="H38" s="10" t="inlineStr">
        <is>
          <t>Shoshana Zuboff『The Age of Surveillance Capitalism』(2019)</t>
        </is>
      </c>
      <c r="I38" s="9" t="inlineStr">
        <is>
          <t>学者</t>
        </is>
      </c>
      <c r="J38" s="11" t="inlineStr">
        <is>
          <t>https://en.wikipedia.org/wiki/The_Age_of_Surveillance_Capitalism</t>
        </is>
      </c>
      <c r="K38" s="9" t="n">
        <v>10</v>
      </c>
      <c r="L38" s="9" t="n">
        <v>8</v>
      </c>
      <c r="M38" s="9">
        <f>IF(AND(K38&lt;=5,L38&gt;=6),"公営の檻",IF(AND(K38&gt;=6,L38&gt;=6),"ハイテク室内飼い",IF(AND(K38&lt;=5,L38&lt;=5),"半野良(公)","半野良(私)")))</f>
        <v/>
      </c>
      <c r="N38" s="10" t="inlineStr">
        <is>
          <t>「自分のデータは自分のもの」という主権感覚</t>
        </is>
      </c>
      <c r="O38" s="10" t="inlineStr">
        <is>
          <t>利便とプライバシーが両立し、選択できる環境</t>
        </is>
      </c>
      <c r="P38" s="10" t="inlineStr">
        <is>
          <t>利便と引き換えにデータを無自覚に差し出すのでなく、提供範囲を意識的に選択・制限する。プライバシー設定やデータ削除権を活用し、監視資本主義の仕組み(行動データの収益化)を理解する。便利さを享受しつつも自己情報の主権を手放さない使い方を選び、必要に応じサービスを使い分ける。</t>
        </is>
      </c>
      <c r="Q38" s="10" t="inlineStr">
        <is>
          <t>過度な遮断は利便・機能低下(対策:重要データのみ保護し用途で線引き)</t>
        </is>
      </c>
    </row>
    <row r="39">
      <c r="A39" s="12" t="n">
        <v>38</v>
      </c>
      <c r="B39" s="13" t="inlineStr">
        <is>
          <t>思想・未来</t>
        </is>
      </c>
      <c r="C39" s="13" t="inlineStr">
        <is>
          <t>ナッジ誘導の最適化人間</t>
        </is>
      </c>
      <c r="D39" s="13" t="inlineStr">
        <is>
          <t>素直タイプ</t>
        </is>
      </c>
      <c r="E39" s="13" t="inlineStr">
        <is>
          <t>設計された選択肢に沿って動く</t>
        </is>
      </c>
      <c r="F39" s="13" t="inlineStr">
        <is>
          <t>意思決定を設計者に委ねる</t>
        </is>
      </c>
      <c r="G39" s="13" t="inlineStr">
        <is>
          <t>飼い主=選択設計者。選ぶ過程の自律を手放す</t>
        </is>
      </c>
      <c r="H39" s="13" t="inlineStr">
        <is>
          <t>Thaler &amp; Sunstein『Nudge』(2008)</t>
        </is>
      </c>
      <c r="I39" s="12" t="inlineStr">
        <is>
          <t>学者</t>
        </is>
      </c>
      <c r="J39" s="14" t="inlineStr">
        <is>
          <t>https://en.wikipedia.org/wiki/Nudge_(book)</t>
        </is>
      </c>
      <c r="K39" s="12" t="n">
        <v>8</v>
      </c>
      <c r="L39" s="12" t="n">
        <v>7</v>
      </c>
      <c r="M39" s="12">
        <f>IF(AND(K39&lt;=5,L39&gt;=6),"公営の檻",IF(AND(K39&gt;=6,L39&gt;=6),"ハイテク室内飼い",IF(AND(K39&lt;=5,L39&lt;=5),"半野良(公)","半野良(私)")))</f>
        <v/>
      </c>
      <c r="N39" s="13" t="inlineStr">
        <is>
          <t>設計の意図を見抜く「ひと呼吸」の習慣</t>
        </is>
      </c>
      <c r="O39" s="13" t="inlineStr">
        <is>
          <t>選択の自由が確保され、初期設定を変えられる環境</t>
        </is>
      </c>
      <c r="P39" s="13" t="inlineStr">
        <is>
          <t>設計された選択肢に流されるのでなく、その背後の意図を読み、必要なら逆らって選ぶ。初期設定(デフォルト)が誰の利益かを問い、重要な選択では立ち止まって自分で判断する習慣を持つ。ナッジは良い行動を促す面もあるため全否定せず、操作されうると自覚した上で主体的に選ぶ。</t>
        </is>
      </c>
      <c r="Q39" s="13" t="inlineStr">
        <is>
          <t>全てを疑うと選択コスト増(対策:重要度に応じ吟味の深さを変える)</t>
        </is>
      </c>
    </row>
    <row r="40">
      <c r="A40" s="9" t="n">
        <v>39</v>
      </c>
      <c r="B40" s="10" t="inlineStr">
        <is>
          <t>思想・未来</t>
        </is>
      </c>
      <c r="C40" s="10" t="inlineStr">
        <is>
          <t>幸福な家畜(快楽的従属)</t>
        </is>
      </c>
      <c r="D40" s="10" t="inlineStr">
        <is>
          <t>ごきげん満喫中</t>
        </is>
      </c>
      <c r="E40" s="10" t="inlineStr">
        <is>
          <t>娯楽と快適で満たされ批判力を失う</t>
        </is>
      </c>
      <c r="F40" s="10" t="inlineStr">
        <is>
          <t>パンとサーカスで自律を手放す</t>
        </is>
      </c>
      <c r="G40" s="10" t="inlineStr">
        <is>
          <t>飼い主=娯楽産業/体制。批判的思考を手放す</t>
        </is>
      </c>
      <c r="H40" s="10" t="inlineStr">
        <is>
          <t>A.Huxley『すばらしい新世界』(1932)/N.Postman『Amusing Ourselves to Death』(1985)</t>
        </is>
      </c>
      <c r="I40" s="9" t="inlineStr">
        <is>
          <t>文学/学者</t>
        </is>
      </c>
      <c r="J40" s="11" t="inlineStr">
        <is>
          <t>https://en.wikipedia.org/wiki/Brave_New_World</t>
        </is>
      </c>
      <c r="K40" s="9" t="n">
        <v>7</v>
      </c>
      <c r="L40" s="9" t="n">
        <v>9</v>
      </c>
      <c r="M40" s="9">
        <f>IF(AND(K40&lt;=5,L40&gt;=6),"公営の檻",IF(AND(K40&gt;=6,L40&gt;=6),"ハイテク室内飼い",IF(AND(K40&lt;=5,L40&lt;=5),"半野良(公)","半野良(私)")))</f>
        <v/>
      </c>
      <c r="N40" s="10" t="inlineStr">
        <is>
          <t>快適の中でも問い続ける批判的な視点</t>
        </is>
      </c>
      <c r="O40" s="10" t="inlineStr">
        <is>
          <t>娯楽を楽しみつつ、考える余白がある環境</t>
        </is>
      </c>
      <c r="P40" s="10" t="inlineStr">
        <is>
          <t>娯楽と快適に満たされ批判力を失う「快楽的従属」に対し、楽しみつつも問い続ける批判的距離を保つ。情報を受け身で消費するだけでなく、出所や意図を吟味し、不快な現実からも目を背けない習慣を持つ。快適さを享受する自由と、それに飲み込まれない自律を両立させ、考える余白を確保する。</t>
        </is>
      </c>
      <c r="Q40" s="10" t="inlineStr">
        <is>
          <t>過度な懐疑は楽しみを損なう(対策:娯楽と思考の時間を区切り共存させる)</t>
        </is>
      </c>
    </row>
    <row r="41">
      <c r="A41" s="12" t="n">
        <v>40</v>
      </c>
      <c r="B41" s="13" t="inlineStr">
        <is>
          <t>思想・未来</t>
        </is>
      </c>
      <c r="C41" s="13" t="inlineStr">
        <is>
          <t>自己家畜化を肯定する人</t>
        </is>
      </c>
      <c r="D41" s="13" t="inlineStr">
        <is>
          <t>心地よさ最優先派</t>
        </is>
      </c>
      <c r="E41" s="13" t="inlineStr">
        <is>
          <t>飼い慣らされた快適を是とする</t>
        </is>
      </c>
      <c r="F41" s="13" t="inlineStr">
        <is>
          <t>進んで野生(自律)を放棄</t>
        </is>
      </c>
      <c r="G41" s="13" t="inlineStr">
        <is>
          <t>飼い主=文明/制度。野生的自律を手放す</t>
        </is>
      </c>
      <c r="H41" s="13" t="inlineStr">
        <is>
          <t>R.Wrangham『The Goodness Paradox』(2019)/小原秀雄 自己家畜化論</t>
        </is>
      </c>
      <c r="I41" s="12" t="inlineStr">
        <is>
          <t>学者</t>
        </is>
      </c>
      <c r="J41" s="14" t="inlineStr">
        <is>
          <t>https://en.wikipedia.org/wiki/Self-domestication</t>
        </is>
      </c>
      <c r="K41" s="12" t="n">
        <v>6</v>
      </c>
      <c r="L41" s="12" t="n">
        <v>9</v>
      </c>
      <c r="M41" s="12">
        <f>IF(AND(K41&lt;=5,L41&gt;=6),"公営の檻",IF(AND(K41&gt;=6,L41&gt;=6),"ハイテク室内飼い",IF(AND(K41&lt;=5,L41&lt;=5),"半野良(公)","半野良(私)")))</f>
        <v/>
      </c>
      <c r="N41" s="13" t="inlineStr">
        <is>
          <t>「飼い慣らし」を自覚し選び直す余地</t>
        </is>
      </c>
      <c r="O41" s="13" t="inlineStr">
        <is>
          <t>快適を享受しつつ、いつでも野生に戻れる環境</t>
        </is>
      </c>
      <c r="P41" s="13" t="inlineStr">
        <is>
          <t>飼い慣らされた快適を是とする立場も一つの選択だが、無自覚な全面依存は脆弱性を生む。自己家畜化の進行を自覚した上で、最低限の自律(自分で考え・動き・選ぶ力)は残すよう促す。快適と引き換えに何を手放しているかを定期的に点検し、必要なときに野生=自律を取り戻せる余地を確保する。</t>
        </is>
      </c>
      <c r="Q41" s="13" t="inlineStr">
        <is>
          <t>自律強制は本人の選択の自由と矛盾(対策:選択肢の提示に留め強制しない)</t>
        </is>
      </c>
    </row>
    <row r="42">
      <c r="A42" s="9" t="n">
        <v>41</v>
      </c>
      <c r="B42" s="10" t="inlineStr">
        <is>
          <t>思想・未来</t>
        </is>
      </c>
      <c r="C42" s="10" t="inlineStr">
        <is>
          <t>ポスト労働・脱労働志向</t>
        </is>
      </c>
      <c r="D42" s="10" t="inlineStr">
        <is>
          <t>新しい暮らし方さがし中</t>
        </is>
      </c>
      <c r="E42" s="10" t="inlineStr">
        <is>
          <t>自動化前提で働かない権利を望む</t>
        </is>
      </c>
      <c r="F42" s="10" t="inlineStr">
        <is>
          <t>生産を機械・他者に全面委託</t>
        </is>
      </c>
      <c r="G42" s="10" t="inlineStr">
        <is>
          <t>飼い主=自動化システム。生産の担い手性を手放す</t>
        </is>
      </c>
      <c r="H42" s="10" t="inlineStr">
        <is>
          <t>Srnicek &amp; Williams『Inventing the Future』(2015)</t>
        </is>
      </c>
      <c r="I42" s="9" t="inlineStr">
        <is>
          <t>学者</t>
        </is>
      </c>
      <c r="J42" s="11" t="inlineStr">
        <is>
          <t>https://en.wikipedia.org/wiki/Post-work_society</t>
        </is>
      </c>
      <c r="K42" s="9" t="n">
        <v>4</v>
      </c>
      <c r="L42" s="9" t="n">
        <v>7</v>
      </c>
      <c r="M42" s="9">
        <f>IF(AND(K42&lt;=5,L42&gt;=6),"公営の檻",IF(AND(K42&gt;=6,L42&gt;=6),"ハイテク室内飼い",IF(AND(K42&lt;=5,L42&lt;=5),"半野良(公)","半野良(私)")))</f>
        <v/>
      </c>
      <c r="N42" s="10" t="inlineStr">
        <is>
          <t>労働外の「社会的役割」という新たな張り合い</t>
        </is>
      </c>
      <c r="O42" s="10" t="inlineStr">
        <is>
          <t>自動化の恩恵を享受しつつ、自治に関われる環境</t>
        </is>
      </c>
      <c r="P42" s="10" t="inlineStr">
        <is>
          <t>自動化を前提に労働を手放す志向では、生産を機械・他者に丸投げしないバランスが要る。労働外でも社会的役割(ケア・創作・自治・教育)を主体的に担い、技術の便益を享受しつつ意思決定や運営に関わる。「働かない自由」を受動的消費でなく、自律的な活動と参加の機会として活かす。</t>
        </is>
      </c>
      <c r="Q42" s="10" t="inlineStr">
        <is>
          <t>全面委託は技能・主体性の喪失(対策:担い手としての役割を意識的に持つ)</t>
        </is>
      </c>
    </row>
    <row r="43">
      <c r="A43" s="12" t="n">
        <v>42</v>
      </c>
      <c r="B43" s="13" t="inlineStr">
        <is>
          <t>思想・未来</t>
        </is>
      </c>
      <c r="C43" s="13" t="inlineStr">
        <is>
          <t>身体放棄(トランスヒューマニズム)</t>
        </is>
      </c>
      <c r="D43" s="13" t="inlineStr">
        <is>
          <t>テクノロジー活用派</t>
        </is>
      </c>
      <c r="E43" s="13" t="inlineStr">
        <is>
          <t>身体を技術で補完・代替したい</t>
        </is>
      </c>
      <c r="F43" s="13" t="inlineStr">
        <is>
          <t>生身の自律を技術に明け渡す</t>
        </is>
      </c>
      <c r="G43" s="13" t="inlineStr">
        <is>
          <t>飼い主=技術。身体という基盤を手放す</t>
        </is>
      </c>
      <c r="H43" s="13" t="inlineStr">
        <is>
          <t>Nick Bostrom『Transhumanist FAQ』(2003)</t>
        </is>
      </c>
      <c r="I43" s="12" t="inlineStr">
        <is>
          <t>学者</t>
        </is>
      </c>
      <c r="J43" s="14" t="inlineStr">
        <is>
          <t>https://en.wikipedia.org/wiki/Transhumanism</t>
        </is>
      </c>
      <c r="K43" s="12" t="n">
        <v>9</v>
      </c>
      <c r="L43" s="12" t="n">
        <v>8</v>
      </c>
      <c r="M43" s="12">
        <f>IF(AND(K43&lt;=5,L43&gt;=6),"公営の檻",IF(AND(K43&gt;=6,L43&gt;=6),"ハイテク室内飼い",IF(AND(K43&lt;=5,L43&lt;=5),"半野良(公)","半野良(私)")))</f>
        <v/>
      </c>
      <c r="N43" s="13" t="inlineStr">
        <is>
          <t>技術を道具に留める「身体の主権」感覚</t>
        </is>
      </c>
      <c r="O43" s="13" t="inlineStr">
        <is>
          <t>技術で補完しつつ、生身の自律も保てる環境</t>
        </is>
      </c>
      <c r="P43" s="13" t="inlineStr">
        <is>
          <t>身体を技術で補完・代替する志向において、技術を道具に留め生身の主体性を保つ。能力拡張の便益を享受しつつ、全面依存による脆弱性(故障・依存・格差)を見据える。技術と身体の関係を主体的に選択し、「身体を手放す」のでなく「身体を拡張する」立場で自律の基盤を維持する。</t>
        </is>
      </c>
      <c r="Q43" s="13" t="inlineStr">
        <is>
          <t>技術依存は故障・格差リスク(対策:技術の限界を踏まえ代替手段を確保)</t>
        </is>
      </c>
    </row>
    <row r="44">
      <c r="A44" s="9" t="n">
        <v>43</v>
      </c>
      <c r="B44" s="10" t="inlineStr">
        <is>
          <t>思想・未来</t>
        </is>
      </c>
      <c r="C44" s="10" t="inlineStr">
        <is>
          <t>ケアロボ前提の老後設計</t>
        </is>
      </c>
      <c r="D44" s="10" t="inlineStr">
        <is>
          <t>未来のケア準備中</t>
        </is>
      </c>
      <c r="E44" s="10" t="inlineStr">
        <is>
          <t>介護を機械に任せる前提で生きる</t>
        </is>
      </c>
      <c r="F44" s="10" t="inlineStr">
        <is>
          <t>ケアの自律と関係を機械に委ねる</t>
        </is>
      </c>
      <c r="G44" s="10" t="inlineStr">
        <is>
          <t>飼い主=ケア技術。人とのケア関係を手放す</t>
        </is>
      </c>
      <c r="H44" s="10" t="inlineStr">
        <is>
          <t>経済産業省 介護ロボット導入施策/関連白書</t>
        </is>
      </c>
      <c r="I44" s="9" t="inlineStr">
        <is>
          <t>行政</t>
        </is>
      </c>
      <c r="J44" s="11" t="inlineStr">
        <is>
          <t>https://www.meti.go.jp/policy/mono_info_service/healthcare/</t>
        </is>
      </c>
      <c r="K44" s="9" t="n">
        <v>7</v>
      </c>
      <c r="L44" s="9" t="n">
        <v>7</v>
      </c>
      <c r="M44" s="9">
        <f>IF(AND(K44&lt;=5,L44&gt;=6),"公営の檻",IF(AND(K44&gt;=6,L44&gt;=6),"ハイテク室内飼い",IF(AND(K44&lt;=5,L44&lt;=5),"半野良(公)","半野良(私)")))</f>
        <v/>
      </c>
      <c r="N44" s="10" t="inlineStr">
        <is>
          <t>機械と人のケアを組み合わせる安心</t>
        </is>
      </c>
      <c r="O44" s="10" t="inlineStr">
        <is>
          <t>テクノロジーと人の関係が両立する環境</t>
        </is>
      </c>
      <c r="P44" s="10" t="inlineStr">
        <is>
          <t>介護を機械に任せる前提でも、人とのケア関係を完全に手放さない設計を持つ。ケアロボットや見守り技術で負担と人手不足を補いつつ、対話や交流など人間的なケアの回路を残す。技術を「人を置き換えるもの」でなく「人のケアを支えるもの」と位置づけ、孤立や尊厳の喪失を防ぐ。</t>
        </is>
      </c>
      <c r="Q44" s="10" t="inlineStr">
        <is>
          <t>機械任せが孤立・尊厳低下を招く(対策:人的ケアと併用し関係を維持)</t>
        </is>
      </c>
    </row>
    <row r="45">
      <c r="A45" s="12" t="n">
        <v>44</v>
      </c>
      <c r="B45" s="13" t="inlineStr">
        <is>
          <t>文化・心理</t>
        </is>
      </c>
      <c r="C45" s="13" t="inlineStr">
        <is>
          <t>終活・縮小均衡(守りの撤退)</t>
        </is>
      </c>
      <c r="D45" s="13" t="inlineStr">
        <is>
          <t>身の丈シフト中</t>
        </is>
      </c>
      <c r="E45" s="13" t="inlineStr">
        <is>
          <t>拡大せず守りに入り縮小</t>
        </is>
      </c>
      <c r="F45" s="13" t="inlineStr">
        <is>
          <t>挑戦を手放し安全に閉じる</t>
        </is>
      </c>
      <c r="G45" s="13" t="inlineStr">
        <is>
          <t>飼い主=安全志向。新たな挑戦を手放す</t>
        </is>
      </c>
      <c r="H45" s="13" t="inlineStr">
        <is>
          <t>内閣府『高齢社会白書』(各年)</t>
        </is>
      </c>
      <c r="I45" s="12" t="inlineStr">
        <is>
          <t>行政</t>
        </is>
      </c>
      <c r="J45" s="14" t="inlineStr">
        <is>
          <t>https://www8.cao.go.jp/kourei/whitepaper/index-w.html</t>
        </is>
      </c>
      <c r="K45" s="12" t="n">
        <v>5</v>
      </c>
      <c r="L45" s="12" t="n">
        <v>6</v>
      </c>
      <c r="M45" s="12">
        <f>IF(AND(K45&lt;=5,L45&gt;=6),"公営の檻",IF(AND(K45&gt;=6,L45&gt;=6),"ハイテク室内飼い",IF(AND(K45&lt;=5,L45&lt;=5),"半野良(公)","半野良(私)")))</f>
        <v/>
      </c>
      <c r="N45" s="13" t="inlineStr">
        <is>
          <t>小さな新規挑戦がもたらす生きがい</t>
        </is>
      </c>
      <c r="O45" s="13" t="inlineStr">
        <is>
          <t>安全を保ちつつ、緩やかに挑戦できる環境</t>
        </is>
      </c>
      <c r="P45" s="13" t="inlineStr">
        <is>
          <t>守りに入り縮小する一方で、能動性を保つ小さな挑戦を続ける。終活や生活の整理は前向きな準備と捉えつつ、新しい学び・交流・趣味など「広げる活動」も併せ持つ。撤退一辺倒でなく、自分のペースで挑戦と整理のバランスを取り、生きがいと自律を最後まで保ち続ける。</t>
        </is>
      </c>
      <c r="Q45" s="13" t="inlineStr">
        <is>
          <t>過度な挑戦は負担・リスク(対策:無理のない範囲で小さく試す)</t>
        </is>
      </c>
    </row>
    <row r="46">
      <c r="A46" s="9" t="n">
        <v>45</v>
      </c>
      <c r="B46" s="10" t="inlineStr">
        <is>
          <t>デジタル</t>
        </is>
      </c>
      <c r="C46" s="10" t="inlineStr">
        <is>
          <t>スマホ・アテンション中毒(ドゥームスクロール)</t>
        </is>
      </c>
      <c r="D46" s="10" t="inlineStr">
        <is>
          <t>スマホ大好き</t>
        </is>
      </c>
      <c r="E46" s="10" t="inlineStr">
        <is>
          <t>通知と刺激に絶えず反応し延々スクロール</t>
        </is>
      </c>
      <c r="F46" s="10" t="inlineStr">
        <is>
          <t>注意資源と時間を企業に収奪される</t>
        </is>
      </c>
      <c r="G46" s="10" t="inlineStr">
        <is>
          <t>飼い主=注意商人。注意の主権を手放す</t>
        </is>
      </c>
      <c r="H46" s="10" t="inlineStr">
        <is>
          <t>Tim Wu『The Attention Merchants』(2016)/Adam Alter『Irresistible』(2017)</t>
        </is>
      </c>
      <c r="I46" s="9" t="inlineStr">
        <is>
          <t>学者</t>
        </is>
      </c>
      <c r="J46" s="11" t="inlineStr">
        <is>
          <t>https://en.wikipedia.org/wiki/The_Attention_Merchants</t>
        </is>
      </c>
      <c r="K46" s="9" t="n">
        <v>10</v>
      </c>
      <c r="L46" s="9" t="n">
        <v>7</v>
      </c>
      <c r="M46" s="9">
        <f>IF(AND(K46&lt;=5,L46&gt;=6),"公営の檻",IF(AND(K46&gt;=6,L46&gt;=6),"ハイテク室内飼い",IF(AND(K46&lt;=5,L46&lt;=5),"半野良(公)","半野良(私)")))</f>
        <v/>
      </c>
      <c r="N46" s="10" t="inlineStr">
        <is>
          <t>まとまった集中時間がもたらす充実感</t>
        </is>
      </c>
      <c r="O46" s="10" t="inlineStr">
        <is>
          <t>通知に邪魔されず、注意を自分で配れる環境</t>
        </is>
      </c>
      <c r="P46" s="10" t="inlineStr">
        <is>
          <t>通知・刺激に絶えず反応し注意を企業に収奪される状態から、注意の主権を取り戻す。通知オフ・利用時間制限・画面の白黒化などで依存構造に介入し、際限ないスクロールを断つ。集中できる時間と場所を確保し、注意を「奪われる」から「自分で配る」へ。デジタルとの距離を意図的に設計する。</t>
        </is>
      </c>
      <c r="Q46" s="10" t="inlineStr">
        <is>
          <t>急な遮断はFOMO・反動利用(対策:段階的に減らし代替の楽しみを用意)</t>
        </is>
      </c>
    </row>
    <row r="47">
      <c r="A47" s="12" t="n">
        <v>46</v>
      </c>
      <c r="B47" s="13" t="inlineStr">
        <is>
          <t>デジタル/関係</t>
        </is>
      </c>
      <c r="C47" s="13" t="inlineStr">
        <is>
          <t>マッチング依存(出会いの外注)</t>
        </is>
      </c>
      <c r="D47" s="13" t="inlineStr">
        <is>
          <t>出会い前向き中</t>
        </is>
      </c>
      <c r="E47" s="13" t="inlineStr">
        <is>
          <t>出会いをアプリの推薦に委ねる</t>
        </is>
      </c>
      <c r="F47" s="13" t="inlineStr">
        <is>
          <t>関係形成をプラットフォームに外注</t>
        </is>
      </c>
      <c r="G47" s="13" t="inlineStr">
        <is>
          <t>飼い主=マッチングPF。出会いを築く力を手放す</t>
        </is>
      </c>
      <c r="H47" s="13" t="inlineStr">
        <is>
          <t>Finkel et al. オンラインデートの実証研究(2012, PSPI)</t>
        </is>
      </c>
      <c r="I47" s="12" t="inlineStr">
        <is>
          <t>学者</t>
        </is>
      </c>
      <c r="J47" s="14" t="inlineStr">
        <is>
          <t>https://doi.org/10.1177/1529100612436522</t>
        </is>
      </c>
      <c r="K47" s="12" t="n">
        <v>9</v>
      </c>
      <c r="L47" s="12" t="n">
        <v>6</v>
      </c>
      <c r="M47" s="12">
        <f>IF(AND(K47&lt;=5,L47&gt;=6),"公営の檻",IF(AND(K47&gt;=6,L47&gt;=6),"ハイテク室内飼い",IF(AND(K47&lt;=5,L47&lt;=5),"半野良(公)","半野良(私)")))</f>
        <v/>
      </c>
      <c r="N47" s="13" t="inlineStr">
        <is>
          <t>アプリ外の偶然の出会いがもたらす豊かさ</t>
        </is>
      </c>
      <c r="O47" s="13" t="inlineStr">
        <is>
          <t>オンラインと対面の出会いが両立する環境</t>
        </is>
      </c>
      <c r="P47" s="13" t="inlineStr">
        <is>
          <t>出会いをアプリの推薦に全面外注せず、対面・趣味・地域などアプリ外の出会いの回路も主体的に持つ。マッチングの便益を活かしつつ、アルゴリズムが提示する「条件」に縛られすぎず、自分で関係を育てる力を保つ。効率化された出会いと偶然の出会いを使い分け、関係形成の主導権を手放さない。</t>
        </is>
      </c>
      <c r="Q47" s="13" t="inlineStr">
        <is>
          <t>アプリ脱却が出会い機会減(対策:オンラインも併用し接点を複線化)</t>
        </is>
      </c>
    </row>
  </sheetData>
  <autoFilter ref="A1:Q4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showGridLines="0" workbookViewId="0">
      <selection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15" t="inlineStr">
        <is>
          <t>家猫マッピング ── 横軸=飼い主(公的⇔私的) × 縦軸=家猫度(半野良⇔純家猫)</t>
        </is>
      </c>
    </row>
    <row r="2">
      <c r="A2" s="16" t="inlineStr">
        <is>
          <t>各セルの数字は「46タイプ一覧」のNo.。色は4象限。</t>
        </is>
      </c>
    </row>
    <row r="3">
      <c r="A3" s="17" t="inlineStr">
        <is>
          <t>↑ 純家猫(無自覚・全面依存)</t>
        </is>
      </c>
    </row>
    <row r="4" ht="36" customHeight="1">
      <c r="A4" s="18" t="inlineStr">
        <is>
          <t>Y=10</t>
        </is>
      </c>
      <c r="B4" s="19" t="inlineStr"/>
      <c r="C4" s="19" t="inlineStr"/>
      <c r="D4" s="19" t="inlineStr"/>
      <c r="E4" s="19" t="inlineStr"/>
      <c r="F4" s="19" t="inlineStr"/>
      <c r="G4" s="20" t="inlineStr"/>
      <c r="H4" s="20" t="inlineStr"/>
      <c r="I4" s="20" t="inlineStr"/>
      <c r="J4" s="20" t="inlineStr"/>
      <c r="K4" s="20" t="inlineStr"/>
    </row>
    <row r="5" ht="36" customHeight="1">
      <c r="A5" s="18" t="inlineStr">
        <is>
          <t>Y=9</t>
        </is>
      </c>
      <c r="B5" s="19" t="inlineStr"/>
      <c r="C5" s="19" t="inlineStr"/>
      <c r="D5" s="19" t="inlineStr"/>
      <c r="E5" s="19" t="inlineStr"/>
      <c r="F5" s="19" t="inlineStr"/>
      <c r="G5" s="21" t="inlineStr">
        <is>
          <t>4  40</t>
        </is>
      </c>
      <c r="H5" s="21" t="inlineStr">
        <is>
          <t>3  39</t>
        </is>
      </c>
      <c r="I5" s="20" t="inlineStr"/>
      <c r="J5" s="20" t="inlineStr"/>
      <c r="K5" s="20" t="inlineStr"/>
    </row>
    <row r="6" ht="36" customHeight="1">
      <c r="A6" s="18" t="inlineStr">
        <is>
          <t>Y=8</t>
        </is>
      </c>
      <c r="B6" s="22" t="inlineStr">
        <is>
          <t>16  22</t>
        </is>
      </c>
      <c r="C6" s="22" t="inlineStr">
        <is>
          <t>21</t>
        </is>
      </c>
      <c r="D6" s="22" t="inlineStr">
        <is>
          <t>19  24</t>
        </is>
      </c>
      <c r="E6" s="19" t="inlineStr"/>
      <c r="F6" s="19" t="inlineStr"/>
      <c r="G6" s="21" t="inlineStr">
        <is>
          <t>2</t>
        </is>
      </c>
      <c r="H6" s="21" t="inlineStr">
        <is>
          <t>25</t>
        </is>
      </c>
      <c r="I6" s="21" t="inlineStr">
        <is>
          <t>7</t>
        </is>
      </c>
      <c r="J6" s="21" t="inlineStr">
        <is>
          <t>42</t>
        </is>
      </c>
      <c r="K6" s="21" t="inlineStr">
        <is>
          <t>12  13  37</t>
        </is>
      </c>
    </row>
    <row r="7" ht="36" customHeight="1">
      <c r="A7" s="18" t="inlineStr">
        <is>
          <t>Y=7</t>
        </is>
      </c>
      <c r="B7" s="19" t="inlineStr"/>
      <c r="C7" s="22" t="inlineStr">
        <is>
          <t>6  17</t>
        </is>
      </c>
      <c r="D7" s="22" t="inlineStr">
        <is>
          <t>15</t>
        </is>
      </c>
      <c r="E7" s="22" t="inlineStr">
        <is>
          <t>23  29  41</t>
        </is>
      </c>
      <c r="F7" s="22" t="inlineStr">
        <is>
          <t>20</t>
        </is>
      </c>
      <c r="G7" s="21" t="inlineStr">
        <is>
          <t>35</t>
        </is>
      </c>
      <c r="H7" s="21" t="inlineStr">
        <is>
          <t>43</t>
        </is>
      </c>
      <c r="I7" s="21" t="inlineStr">
        <is>
          <t>1  36  38</t>
        </is>
      </c>
      <c r="J7" s="20" t="inlineStr"/>
      <c r="K7" s="21" t="inlineStr">
        <is>
          <t>9  10  45</t>
        </is>
      </c>
    </row>
    <row r="8" ht="36" customHeight="1">
      <c r="A8" s="18" t="inlineStr">
        <is>
          <t>Y=6</t>
        </is>
      </c>
      <c r="B8" s="19" t="inlineStr"/>
      <c r="C8" s="19" t="inlineStr"/>
      <c r="D8" s="22" t="inlineStr">
        <is>
          <t>18</t>
        </is>
      </c>
      <c r="E8" s="19" t="inlineStr"/>
      <c r="F8" s="22" t="inlineStr">
        <is>
          <t>27  44</t>
        </is>
      </c>
      <c r="G8" s="21" t="inlineStr">
        <is>
          <t>26  32</t>
        </is>
      </c>
      <c r="H8" s="21" t="inlineStr">
        <is>
          <t>28</t>
        </is>
      </c>
      <c r="I8" s="21" t="inlineStr">
        <is>
          <t>30  33</t>
        </is>
      </c>
      <c r="J8" s="21" t="inlineStr">
        <is>
          <t>5  11  14  34  46</t>
        </is>
      </c>
      <c r="K8" s="20" t="inlineStr"/>
    </row>
    <row r="9" ht="36" customHeight="1">
      <c r="A9" s="18" t="inlineStr">
        <is>
          <t>Y=5</t>
        </is>
      </c>
      <c r="B9" s="23" t="inlineStr"/>
      <c r="C9" s="23" t="inlineStr"/>
      <c r="D9" s="23" t="inlineStr"/>
      <c r="E9" s="23" t="inlineStr"/>
      <c r="F9" s="23" t="inlineStr"/>
      <c r="G9" s="24" t="inlineStr"/>
      <c r="H9" s="25" t="inlineStr">
        <is>
          <t>31</t>
        </is>
      </c>
      <c r="I9" s="24" t="inlineStr"/>
      <c r="J9" s="25" t="inlineStr">
        <is>
          <t>8</t>
        </is>
      </c>
      <c r="K9" s="24" t="inlineStr"/>
    </row>
    <row r="10" ht="36" customHeight="1">
      <c r="A10" s="18" t="inlineStr">
        <is>
          <t>Y=4</t>
        </is>
      </c>
      <c r="B10" s="23" t="inlineStr"/>
      <c r="C10" s="23" t="inlineStr"/>
      <c r="D10" s="23" t="inlineStr"/>
      <c r="E10" s="23" t="inlineStr"/>
      <c r="F10" s="23" t="inlineStr"/>
      <c r="G10" s="24" t="inlineStr"/>
      <c r="H10" s="24" t="inlineStr"/>
      <c r="I10" s="24" t="inlineStr"/>
      <c r="J10" s="24" t="inlineStr"/>
      <c r="K10" s="24" t="inlineStr"/>
    </row>
    <row r="11" ht="36" customHeight="1">
      <c r="A11" s="18" t="inlineStr">
        <is>
          <t>Y=3</t>
        </is>
      </c>
      <c r="B11" s="23" t="inlineStr"/>
      <c r="C11" s="23" t="inlineStr"/>
      <c r="D11" s="23" t="inlineStr"/>
      <c r="E11" s="23" t="inlineStr"/>
      <c r="F11" s="23" t="inlineStr"/>
      <c r="G11" s="24" t="inlineStr"/>
      <c r="H11" s="24" t="inlineStr"/>
      <c r="I11" s="24" t="inlineStr"/>
      <c r="J11" s="24" t="inlineStr"/>
      <c r="K11" s="24" t="inlineStr"/>
    </row>
    <row r="12" ht="36" customHeight="1">
      <c r="A12" s="18" t="inlineStr">
        <is>
          <t>Y=2</t>
        </is>
      </c>
      <c r="B12" s="23" t="inlineStr"/>
      <c r="C12" s="23" t="inlineStr"/>
      <c r="D12" s="23" t="inlineStr"/>
      <c r="E12" s="23" t="inlineStr"/>
      <c r="F12" s="23" t="inlineStr"/>
      <c r="G12" s="24" t="inlineStr"/>
      <c r="H12" s="24" t="inlineStr"/>
      <c r="I12" s="24" t="inlineStr"/>
      <c r="J12" s="24" t="inlineStr"/>
      <c r="K12" s="24" t="inlineStr"/>
    </row>
    <row r="13" ht="36" customHeight="1">
      <c r="A13" s="18" t="inlineStr">
        <is>
          <t>Y=1</t>
        </is>
      </c>
      <c r="B13" s="23" t="inlineStr"/>
      <c r="C13" s="23" t="inlineStr"/>
      <c r="D13" s="23" t="inlineStr"/>
      <c r="E13" s="23" t="inlineStr"/>
      <c r="F13" s="23" t="inlineStr"/>
      <c r="G13" s="24" t="inlineStr"/>
      <c r="H13" s="24" t="inlineStr"/>
      <c r="I13" s="24" t="inlineStr"/>
      <c r="J13" s="24" t="inlineStr"/>
      <c r="K13" s="24" t="inlineStr"/>
    </row>
    <row r="14" ht="36" customHeight="1">
      <c r="B14" s="26" t="inlineStr">
        <is>
          <t>X=1</t>
        </is>
      </c>
      <c r="C14" s="26" t="inlineStr">
        <is>
          <t>X=2</t>
        </is>
      </c>
      <c r="D14" s="26" t="inlineStr">
        <is>
          <t>X=3</t>
        </is>
      </c>
      <c r="E14" s="26" t="inlineStr">
        <is>
          <t>X=4</t>
        </is>
      </c>
      <c r="F14" s="26" t="inlineStr">
        <is>
          <t>X=5</t>
        </is>
      </c>
      <c r="G14" s="26" t="inlineStr">
        <is>
          <t>X=6</t>
        </is>
      </c>
      <c r="H14" s="26" t="inlineStr">
        <is>
          <t>X=7</t>
        </is>
      </c>
      <c r="I14" s="26" t="inlineStr">
        <is>
          <t>X=8</t>
        </is>
      </c>
      <c r="J14" s="26" t="inlineStr">
        <is>
          <t>X=9</t>
        </is>
      </c>
      <c r="K14" s="26" t="inlineStr">
        <is>
          <t>X=10</t>
        </is>
      </c>
    </row>
    <row r="15">
      <c r="A15" s="17" t="inlineStr">
        <is>
          <t>← 公的(国家・行政・福祉)</t>
        </is>
      </c>
      <c r="I15" s="27" t="inlineStr">
        <is>
          <t>私的(市場・PF・家族) →</t>
        </is>
      </c>
    </row>
    <row r="17">
      <c r="A17" s="28" t="inlineStr">
        <is>
          <t>【凡例】</t>
        </is>
      </c>
    </row>
    <row r="18">
      <c r="A18" s="29" t="inlineStr">
        <is>
          <t>公営の檻(公的×深)</t>
        </is>
      </c>
    </row>
    <row r="19">
      <c r="A19" s="30" t="inlineStr">
        <is>
          <t>ハイテク室内飼い(私的×深)</t>
        </is>
      </c>
    </row>
    <row r="20">
      <c r="A20" s="31" t="inlineStr">
        <is>
          <t>半野良・公(公的×浅)</t>
        </is>
      </c>
    </row>
    <row r="21">
      <c r="A21" s="32" t="inlineStr">
        <is>
          <t>半野良・私(私的×浅)</t>
        </is>
      </c>
    </row>
  </sheetData>
  <mergeCells count="4">
    <mergeCell ref="A18:C18"/>
    <mergeCell ref="A20:C20"/>
    <mergeCell ref="A19:C19"/>
    <mergeCell ref="A21:C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60" customWidth="1" min="3" max="3"/>
    <col width="14" customWidth="1" min="4" max="4"/>
    <col width="50" customWidth="1" min="5" max="5"/>
  </cols>
  <sheetData>
    <row r="1">
      <c r="A1" s="33" t="inlineStr">
        <is>
          <t>No.</t>
        </is>
      </c>
      <c r="B1" s="33" t="inlineStr">
        <is>
          <t>タイプ名</t>
        </is>
      </c>
      <c r="C1" s="33" t="inlineStr">
        <is>
          <t>根拠・出典(著者／機関, 年, 文献・調査名)</t>
        </is>
      </c>
      <c r="D1" s="33" t="inlineStr">
        <is>
          <t>区分</t>
        </is>
      </c>
      <c r="E1" s="33" t="inlineStr">
        <is>
          <t>引用元URL</t>
        </is>
      </c>
    </row>
    <row r="2">
      <c r="A2" s="34" t="n">
        <v>1</v>
      </c>
      <c r="B2" s="35" t="inlineStr">
        <is>
          <t>パラサイト・シングル(親密圏依存)</t>
        </is>
      </c>
      <c r="C2" s="35" t="inlineStr">
        <is>
          <t>山田昌弘『パラサイト・シングルの時代』(1999)/J.Bowlby 愛着理論</t>
        </is>
      </c>
      <c r="D2" s="34" t="inlineStr">
        <is>
          <t>学者</t>
        </is>
      </c>
      <c r="E2" s="36" t="inlineStr">
        <is>
          <t>https://ja.wikipedia.org/wiki/パラサイトシングル</t>
        </is>
      </c>
    </row>
    <row r="3">
      <c r="A3" s="34" t="n">
        <v>2</v>
      </c>
      <c r="B3" s="35" t="inlineStr">
        <is>
          <t>ニート(NEET)</t>
        </is>
      </c>
      <c r="C3" s="35" t="inlineStr">
        <is>
          <t>英Social Exclusion Unit『Bridging the Gap』(1999)/玄田有史・曲沼美恵『ニート』(2004)</t>
        </is>
      </c>
      <c r="D3" s="34" t="inlineStr">
        <is>
          <t>行政/学者</t>
        </is>
      </c>
      <c r="E3" s="36" t="inlineStr">
        <is>
          <t>https://ja.wikipedia.org/wiki/ニート</t>
        </is>
      </c>
    </row>
    <row r="4">
      <c r="A4" s="34" t="n">
        <v>3</v>
      </c>
      <c r="B4" s="35" t="inlineStr">
        <is>
          <t>ひきこもり</t>
        </is>
      </c>
      <c r="C4" s="35" t="inlineStr">
        <is>
          <t>内閣府『こども・若者の意識と生活に関する調査』(2023公表)推計 約146万人(15〜64歳)※要再確認</t>
        </is>
      </c>
      <c r="D4" s="34" t="inlineStr">
        <is>
          <t>行政</t>
        </is>
      </c>
      <c r="E4" s="36" t="inlineStr">
        <is>
          <t>https://www.cfa.go.jp/resources/research/chilren-attitudes</t>
        </is>
      </c>
    </row>
    <row r="5">
      <c r="A5" s="34" t="n">
        <v>4</v>
      </c>
      <c r="B5" s="35" t="inlineStr">
        <is>
          <t>中高年ひきこもり(8050問題)</t>
        </is>
      </c>
      <c r="C5" s="35" t="inlineStr">
        <is>
          <t>内閣府『生活状況に関する調査』(2019)推計 約61万人(40〜64歳)※要再確認</t>
        </is>
      </c>
      <c r="D5" s="34" t="inlineStr">
        <is>
          <t>行政</t>
        </is>
      </c>
      <c r="E5" s="36" t="inlineStr">
        <is>
          <t>https://warp.ndl.go.jp/web/20230703141614/www8.cao.go.jp/youth/kenkyu/life/h30/pdf-index.html</t>
        </is>
      </c>
    </row>
    <row r="6">
      <c r="A6" s="34" t="n">
        <v>5</v>
      </c>
      <c r="B6" s="35" t="inlineStr">
        <is>
          <t>FIRE早期リタイア層</t>
        </is>
      </c>
      <c r="C6" s="35" t="inlineStr">
        <is>
          <t>Vicki Robin &amp; Joe Dominguez『Your Money or Your Life』(1992)</t>
        </is>
      </c>
      <c r="D6" s="34" t="inlineStr">
        <is>
          <t>著述/実務</t>
        </is>
      </c>
      <c r="E6" s="36" t="inlineStr">
        <is>
          <t>https://en.wikipedia.org/wiki/FIRE_movement</t>
        </is>
      </c>
    </row>
    <row r="7">
      <c r="A7" s="34" t="n">
        <v>6</v>
      </c>
      <c r="B7" s="35" t="inlineStr">
        <is>
          <t>ベーシックインカム待望者</t>
        </is>
      </c>
      <c r="C7" s="35" t="inlineStr">
        <is>
          <t>Philippe Van Parijs『Real Freedom for All』(1995)</t>
        </is>
      </c>
      <c r="D7" s="34" t="inlineStr">
        <is>
          <t>学者</t>
        </is>
      </c>
      <c r="E7" s="36" t="inlineStr">
        <is>
          <t>https://en.wikipedia.org/wiki/Basic_income</t>
        </is>
      </c>
    </row>
    <row r="8">
      <c r="A8" s="34" t="n">
        <v>7</v>
      </c>
      <c r="B8" s="35" t="inlineStr">
        <is>
          <t>ぶら下がり社員(社内失業)</t>
        </is>
      </c>
      <c r="C8" s="35" t="inlineStr">
        <is>
          <t>リクルートワークス研究所『社内失業』の推計・分析</t>
        </is>
      </c>
      <c r="D8" s="34" t="inlineStr">
        <is>
          <t>研究機関</t>
        </is>
      </c>
      <c r="E8" s="36" t="inlineStr">
        <is>
          <t>https://www.works-i.com/</t>
        </is>
      </c>
    </row>
    <row r="9">
      <c r="A9" s="34" t="n">
        <v>8</v>
      </c>
      <c r="B9" s="35" t="inlineStr">
        <is>
          <t>ギグワーカー(プラットフォーム依存)</t>
        </is>
      </c>
      <c r="C9" s="35" t="inlineStr">
        <is>
          <t>ILO『World Employment and Social Outlook』(2021)プラットフォーム労働</t>
        </is>
      </c>
      <c r="D9" s="34" t="inlineStr">
        <is>
          <t>研究機関/行政</t>
        </is>
      </c>
      <c r="E9" s="36" t="inlineStr">
        <is>
          <t>https://en.wikipedia.org/wiki/Gig_worker</t>
        </is>
      </c>
    </row>
    <row r="10">
      <c r="A10" s="34" t="n">
        <v>9</v>
      </c>
      <c r="B10" s="35" t="inlineStr">
        <is>
          <t>レコメンド任せ(フィルターバブル)</t>
        </is>
      </c>
      <c r="C10" s="35" t="inlineStr">
        <is>
          <t>Eli Pariser『The Filter Bubble』(2011)</t>
        </is>
      </c>
      <c r="D10" s="34" t="inlineStr">
        <is>
          <t>著述/学者</t>
        </is>
      </c>
      <c r="E10" s="36" t="inlineStr">
        <is>
          <t>https://en.wikipedia.org/wiki/Filter_bubble</t>
        </is>
      </c>
    </row>
    <row r="11">
      <c r="A11" s="34" t="n">
        <v>10</v>
      </c>
      <c r="B11" s="35" t="inlineStr">
        <is>
          <t>SNS承認依存</t>
        </is>
      </c>
      <c r="C11" s="35" t="inlineStr">
        <is>
          <t>Tristan Harris/Center for Humane Technology の問題提起</t>
        </is>
      </c>
      <c r="D11" s="34" t="inlineStr">
        <is>
          <t>研究機関</t>
        </is>
      </c>
      <c r="E11" s="36" t="inlineStr">
        <is>
          <t>https://www.humanetech.com/</t>
        </is>
      </c>
    </row>
    <row r="12">
      <c r="A12" s="34" t="n">
        <v>11</v>
      </c>
      <c r="B12" s="35" t="inlineStr">
        <is>
          <t>サブスク全部入り(非所有)</t>
        </is>
      </c>
      <c r="C12" s="35" t="inlineStr">
        <is>
          <t>Jeremy Rifkin『The Age of Access』(2000)</t>
        </is>
      </c>
      <c r="D12" s="34" t="inlineStr">
        <is>
          <t>学者</t>
        </is>
      </c>
      <c r="E12" s="36" t="inlineStr">
        <is>
          <t>https://en.wikipedia.org/wiki/The_Age_of_Access</t>
        </is>
      </c>
    </row>
    <row r="13">
      <c r="A13" s="34" t="n">
        <v>12</v>
      </c>
      <c r="B13" s="35" t="inlineStr">
        <is>
          <t>認知アウトソース(AI思考代行)</t>
        </is>
      </c>
      <c r="C13" s="35" t="inlineStr">
        <is>
          <t>Nicholas Carr『The Shallows』(2010)/B.Stiegler 技術論</t>
        </is>
      </c>
      <c r="D13" s="34" t="inlineStr">
        <is>
          <t>学者</t>
        </is>
      </c>
      <c r="E13" s="36" t="inlineStr">
        <is>
          <t>https://en.wikipedia.org/wiki/The_Shallows_(book)</t>
        </is>
      </c>
    </row>
    <row r="14">
      <c r="A14" s="34" t="n">
        <v>13</v>
      </c>
      <c r="B14" s="35" t="inlineStr">
        <is>
          <t>メタバース/ゲーム没入</t>
        </is>
      </c>
      <c r="C14" s="35" t="inlineStr">
        <is>
          <t>Edward Castronova『Synthetic Worlds』(2005)</t>
        </is>
      </c>
      <c r="D14" s="34" t="inlineStr">
        <is>
          <t>学者</t>
        </is>
      </c>
      <c r="E14" s="36" t="inlineStr">
        <is>
          <t>https://en.wikipedia.org/wiki/Edward_Castronova</t>
        </is>
      </c>
    </row>
    <row r="15">
      <c r="A15" s="34" t="n">
        <v>14</v>
      </c>
      <c r="B15" s="35" t="inlineStr">
        <is>
          <t>EC・デリバリー完結生活</t>
        </is>
      </c>
      <c r="C15" s="35" t="inlineStr">
        <is>
          <t>経済産業省『電子商取引に関する市場調査』(各年)</t>
        </is>
      </c>
      <c r="D15" s="34" t="inlineStr">
        <is>
          <t>行政</t>
        </is>
      </c>
      <c r="E15" s="36" t="inlineStr">
        <is>
          <t>https://www.meti.go.jp/policy/it_policy/statistics/outlook/ie_outlook.html</t>
        </is>
      </c>
    </row>
    <row r="16">
      <c r="A16" s="34" t="n">
        <v>15</v>
      </c>
      <c r="B16" s="35" t="inlineStr">
        <is>
          <t>無関心・棄権層</t>
        </is>
      </c>
      <c r="C16" s="35" t="inlineStr">
        <is>
          <t>総務省『国政選挙における投票率の推移』</t>
        </is>
      </c>
      <c r="D16" s="34" t="inlineStr">
        <is>
          <t>行政</t>
        </is>
      </c>
      <c r="E16" s="36" t="inlineStr">
        <is>
          <t>https://www.soumu.go.jp/senkyo/senkyo_s/news/sonota/ritu/</t>
        </is>
      </c>
    </row>
    <row r="17">
      <c r="A17" s="34" t="n">
        <v>16</v>
      </c>
      <c r="B17" s="35" t="inlineStr">
        <is>
          <t>お上任せ・公助依存</t>
        </is>
      </c>
      <c r="C17" s="35" t="inlineStr">
        <is>
          <t>Sherry Arnstein『A Ladder of Citizen Participation』(1969)</t>
        </is>
      </c>
      <c r="D17" s="34" t="inlineStr">
        <is>
          <t>学者</t>
        </is>
      </c>
      <c r="E17" s="36" t="inlineStr">
        <is>
          <t>https://doi.org/10.1080/01944366908977225</t>
        </is>
      </c>
    </row>
    <row r="18">
      <c r="A18" s="34" t="n">
        <v>17</v>
      </c>
      <c r="B18" s="35" t="inlineStr">
        <is>
          <t>お客様・クレーマー型市民(自動販売機モデル)</t>
        </is>
      </c>
      <c r="C18" s="35" t="inlineStr">
        <is>
          <t>新川達郎・稲継裕昭ほか 自治体経営論/公共サービス・ロジック論/カスハラ研究</t>
        </is>
      </c>
      <c r="D18" s="34" t="inlineStr">
        <is>
          <t>学者/研究機関</t>
        </is>
      </c>
      <c r="E18" s="36" t="inlineStr">
        <is>
          <t>https://en.wikipedia.org/wiki/New_public_management</t>
        </is>
      </c>
    </row>
    <row r="19">
      <c r="A19" s="34" t="n">
        <v>18</v>
      </c>
      <c r="B19" s="35" t="inlineStr">
        <is>
          <t>NIMBY</t>
        </is>
      </c>
      <c r="C19" s="35" t="inlineStr">
        <is>
          <t>Michael Dear『Understanding and Overcoming the NIMBY Syndrome』(1992)</t>
        </is>
      </c>
      <c r="D19" s="34" t="inlineStr">
        <is>
          <t>学者</t>
        </is>
      </c>
      <c r="E19" s="36" t="inlineStr">
        <is>
          <t>https://en.wikipedia.org/wiki/NIMBY</t>
        </is>
      </c>
    </row>
    <row r="20">
      <c r="A20" s="34" t="n">
        <v>19</v>
      </c>
      <c r="B20" s="35" t="inlineStr">
        <is>
          <t>政治的無力感(学習性無力感)</t>
        </is>
      </c>
      <c r="C20" s="35" t="inlineStr">
        <is>
          <t>Martin Seligman 学習性無力感の研究(1967〜1975)</t>
        </is>
      </c>
      <c r="D20" s="34" t="inlineStr">
        <is>
          <t>学者</t>
        </is>
      </c>
      <c r="E20" s="36" t="inlineStr">
        <is>
          <t>https://en.wikipedia.org/wiki/Learned_helplessness</t>
        </is>
      </c>
    </row>
    <row r="21">
      <c r="A21" s="34" t="n">
        <v>20</v>
      </c>
      <c r="B21" s="35" t="inlineStr">
        <is>
          <t>同調・空気読み</t>
        </is>
      </c>
      <c r="C21" s="35" t="inlineStr">
        <is>
          <t>S.Asch 同調実験(1951)/山本七平『空気の研究』(1977)</t>
        </is>
      </c>
      <c r="D21" s="34" t="inlineStr">
        <is>
          <t>学者</t>
        </is>
      </c>
      <c r="E21" s="36" t="inlineStr">
        <is>
          <t>https://en.wikipedia.org/wiki/Asch_conformity_experiments</t>
        </is>
      </c>
    </row>
    <row r="22">
      <c r="A22" s="34" t="n">
        <v>21</v>
      </c>
      <c r="B22" s="35" t="inlineStr">
        <is>
          <t>権威主義的従順</t>
        </is>
      </c>
      <c r="C22" s="35" t="inlineStr">
        <is>
          <t>E.Fromm『自由からの逃走』(1941)/Adorno『The Authoritarian Personality』(1950)</t>
        </is>
      </c>
      <c r="D22" s="34" t="inlineStr">
        <is>
          <t>学者</t>
        </is>
      </c>
      <c r="E22" s="36" t="inlineStr">
        <is>
          <t>https://en.wikipedia.org/wiki/Escape_from_Freedom</t>
        </is>
      </c>
    </row>
    <row r="23">
      <c r="A23" s="34" t="n">
        <v>22</v>
      </c>
      <c r="B23" s="35" t="inlineStr">
        <is>
          <t>生活保護の長期依存</t>
        </is>
      </c>
      <c r="C23" s="35" t="inlineStr">
        <is>
          <t>厚生労働省『被保護者調査』(各年)</t>
        </is>
      </c>
      <c r="D23" s="34" t="inlineStr">
        <is>
          <t>行政</t>
        </is>
      </c>
      <c r="E23" s="36" t="inlineStr">
        <is>
          <t>https://www.mhlw.go.jp/toukei/list/74-16.html</t>
        </is>
      </c>
    </row>
    <row r="24">
      <c r="A24" s="34" t="n">
        <v>23</v>
      </c>
      <c r="B24" s="35" t="inlineStr">
        <is>
          <t>過剰受診・医療化</t>
        </is>
      </c>
      <c r="C24" s="35" t="inlineStr">
        <is>
          <t>Ivan Illich『Medical Nemesis(脱病院化社会)』(1975)</t>
        </is>
      </c>
      <c r="D24" s="34" t="inlineStr">
        <is>
          <t>学者</t>
        </is>
      </c>
      <c r="E24" s="36" t="inlineStr">
        <is>
          <t>https://en.wikipedia.org/wiki/Medical_Nemesis</t>
        </is>
      </c>
    </row>
    <row r="25">
      <c r="A25" s="34" t="n">
        <v>24</v>
      </c>
      <c r="B25" s="35" t="inlineStr">
        <is>
          <t>施設・社会的入院依存(高齢)</t>
        </is>
      </c>
      <c r="C25" s="35" t="inlineStr">
        <is>
          <t>OECD Health Statistics/厚労省 介護給付費等実態統計</t>
        </is>
      </c>
      <c r="D25" s="34" t="inlineStr">
        <is>
          <t>行政/研究機関</t>
        </is>
      </c>
      <c r="E25" s="36" t="inlineStr">
        <is>
          <t>https://en.wikipedia.org/wiki/Elderly_care</t>
        </is>
      </c>
    </row>
    <row r="26">
      <c r="A26" s="34" t="n">
        <v>25</v>
      </c>
      <c r="B26" s="35" t="inlineStr">
        <is>
          <t>過保護の子(ヘリコプターペアレント下)</t>
        </is>
      </c>
      <c r="C26" s="35" t="inlineStr">
        <is>
          <t>Lukianoff &amp; Haidt『The Coddling of the American Mind』(2018)</t>
        </is>
      </c>
      <c r="D26" s="34" t="inlineStr">
        <is>
          <t>学者</t>
        </is>
      </c>
      <c r="E26" s="36" t="inlineStr">
        <is>
          <t>https://en.wikipedia.org/wiki/The_Coddling_of_the_American_Mind</t>
        </is>
      </c>
    </row>
    <row r="27">
      <c r="A27" s="34" t="n">
        <v>26</v>
      </c>
      <c r="B27" s="35" t="inlineStr">
        <is>
          <t>コンフォートゾーン固着</t>
        </is>
      </c>
      <c r="C27" s="35" t="inlineStr">
        <is>
          <t>Yerkes-Dodson法則(1908)/J.Bardwick『Danger in the Comfort Zone』(1991)</t>
        </is>
      </c>
      <c r="D27" s="34" t="inlineStr">
        <is>
          <t>学者</t>
        </is>
      </c>
      <c r="E27" s="36" t="inlineStr">
        <is>
          <t>https://en.wikipedia.org/wiki/Yerkes%E2%80%93Dodson_law</t>
        </is>
      </c>
    </row>
    <row r="28">
      <c r="A28" s="34" t="n">
        <v>27</v>
      </c>
      <c r="B28" s="35" t="inlineStr">
        <is>
          <t>安定至上(大企業・公務員志向)</t>
        </is>
      </c>
      <c r="C28" s="35" t="inlineStr">
        <is>
          <t>リスク回避選好・キャリア研究</t>
        </is>
      </c>
      <c r="D28" s="34" t="inlineStr">
        <is>
          <t>研究機関</t>
        </is>
      </c>
      <c r="E28" s="36" t="inlineStr">
        <is>
          <t>https://en.wikipedia.org/wiki/Risk_aversion</t>
        </is>
      </c>
    </row>
    <row r="29">
      <c r="A29" s="34" t="n">
        <v>28</v>
      </c>
      <c r="B29" s="35" t="inlineStr">
        <is>
          <t>決断疲れ・おすすめ任せ</t>
        </is>
      </c>
      <c r="C29" s="35" t="inlineStr">
        <is>
          <t>R.Baumeister 自我消耗の研究(1998)</t>
        </is>
      </c>
      <c r="D29" s="34" t="inlineStr">
        <is>
          <t>学者</t>
        </is>
      </c>
      <c r="E29" s="36" t="inlineStr">
        <is>
          <t>https://en.wikipedia.org/wiki/Ego_depletion</t>
        </is>
      </c>
    </row>
    <row r="30">
      <c r="A30" s="34" t="n">
        <v>29</v>
      </c>
      <c r="B30" s="35" t="inlineStr">
        <is>
          <t>自己責任論の内面化・諦観</t>
        </is>
      </c>
      <c r="C30" s="35" t="inlineStr">
        <is>
          <t>M.Lerner 公正世界仮説(1980)</t>
        </is>
      </c>
      <c r="D30" s="34" t="inlineStr">
        <is>
          <t>学者</t>
        </is>
      </c>
      <c r="E30" s="36" t="inlineStr">
        <is>
          <t>https://en.wikipedia.org/wiki/Just-world_hypothesis</t>
        </is>
      </c>
    </row>
    <row r="31">
      <c r="A31" s="34" t="n">
        <v>30</v>
      </c>
      <c r="B31" s="35" t="inlineStr">
        <is>
          <t>推し活没入(現実退避)</t>
        </is>
      </c>
      <c r="C31" s="35" t="inlineStr">
        <is>
          <t>Horton &amp; Wohl パラソーシャル関係(1956)</t>
        </is>
      </c>
      <c r="D31" s="34" t="inlineStr">
        <is>
          <t>学者</t>
        </is>
      </c>
      <c r="E31" s="36" t="inlineStr">
        <is>
          <t>https://en.wikipedia.org/wiki/Parasocial_interaction</t>
        </is>
      </c>
    </row>
    <row r="32">
      <c r="A32" s="34" t="n">
        <v>31</v>
      </c>
      <c r="B32" s="35" t="inlineStr">
        <is>
          <t>ミニマリスト(他者インフラ依存)</t>
        </is>
      </c>
      <c r="C32" s="35" t="inlineStr">
        <is>
          <t>佐々木典士『ぼくたちに、もうモノは必要ない。』(2015)</t>
        </is>
      </c>
      <c r="D32" s="34" t="inlineStr">
        <is>
          <t>著述</t>
        </is>
      </c>
      <c r="E32" s="36" t="inlineStr">
        <is>
          <t>https://ja.wikipedia.org/wiki/ミニマリスト</t>
        </is>
      </c>
    </row>
    <row r="33">
      <c r="A33" s="34" t="n">
        <v>32</v>
      </c>
      <c r="B33" s="35" t="inlineStr">
        <is>
          <t>座りっぱなし・室内完結(身体不活動)</t>
        </is>
      </c>
      <c r="C33" s="35" t="inlineStr">
        <is>
          <t>WHO『身体活動・座位行動ガイドライン』(2020)/WHO 身体不活動の警告(2022)</t>
        </is>
      </c>
      <c r="D33" s="34" t="inlineStr">
        <is>
          <t>行政/研究機関</t>
        </is>
      </c>
      <c r="E33" s="36" t="inlineStr">
        <is>
          <t>https://www.who.int/publications/i/item/9789240015128</t>
        </is>
      </c>
    </row>
    <row r="34">
      <c r="A34" s="34" t="n">
        <v>33</v>
      </c>
      <c r="B34" s="35" t="inlineStr">
        <is>
          <t>超加工食品依存</t>
        </is>
      </c>
      <c r="C34" s="35" t="inlineStr">
        <is>
          <t>Monteiro NOVA分類/超加工食品の健康影響研究(BMJ等)</t>
        </is>
      </c>
      <c r="D34" s="34" t="inlineStr">
        <is>
          <t>研究機関</t>
        </is>
      </c>
      <c r="E34" s="36" t="inlineStr">
        <is>
          <t>https://en.wikipedia.org/wiki/Ultra-processed_food</t>
        </is>
      </c>
    </row>
    <row r="35">
      <c r="A35" s="34" t="n">
        <v>34</v>
      </c>
      <c r="B35" s="35" t="inlineStr">
        <is>
          <t>快適環境最適化マニア</t>
        </is>
      </c>
      <c r="C35" s="35" t="inlineStr">
        <is>
          <t>Quantified Self 運動/生体最適化研究</t>
        </is>
      </c>
      <c r="D35" s="34" t="inlineStr">
        <is>
          <t>研究機関/著述</t>
        </is>
      </c>
      <c r="E35" s="36" t="inlineStr">
        <is>
          <t>https://en.wikipedia.org/wiki/Quantified_self</t>
        </is>
      </c>
    </row>
    <row r="36">
      <c r="A36" s="34" t="n">
        <v>35</v>
      </c>
      <c r="B36" s="35" t="inlineStr">
        <is>
          <t>孤立だが快適(つながり放棄)</t>
        </is>
      </c>
      <c r="C36" s="35" t="inlineStr">
        <is>
          <t>英 孤独担当大臣設置(2018)/日本 孤独・孤立対策担当(2021)</t>
        </is>
      </c>
      <c r="D36" s="34" t="inlineStr">
        <is>
          <t>行政</t>
        </is>
      </c>
      <c r="E36" s="36" t="inlineStr">
        <is>
          <t>https://en.wikipedia.org/wiki/Minister_for_Loneliness</t>
        </is>
      </c>
    </row>
    <row r="37">
      <c r="A37" s="34" t="n">
        <v>36</v>
      </c>
      <c r="B37" s="35" t="inlineStr">
        <is>
          <t>完全専業依存(配偶者扶養)</t>
        </is>
      </c>
      <c r="C37" s="35" t="inlineStr">
        <is>
          <t>内閣府『無償労働(家事等)の貨幣評価』推計</t>
        </is>
      </c>
      <c r="D37" s="34" t="inlineStr">
        <is>
          <t>行政</t>
        </is>
      </c>
      <c r="E37" s="36" t="inlineStr">
        <is>
          <t>https://en.wikipedia.org/wiki/Unpaid_work</t>
        </is>
      </c>
    </row>
    <row r="38">
      <c r="A38" s="34" t="n">
        <v>37</v>
      </c>
      <c r="B38" s="35" t="inlineStr">
        <is>
          <t>監視に喜んで従う</t>
        </is>
      </c>
      <c r="C38" s="35" t="inlineStr">
        <is>
          <t>Shoshana Zuboff『The Age of Surveillance Capitalism』(2019)</t>
        </is>
      </c>
      <c r="D38" s="34" t="inlineStr">
        <is>
          <t>学者</t>
        </is>
      </c>
      <c r="E38" s="36" t="inlineStr">
        <is>
          <t>https://en.wikipedia.org/wiki/The_Age_of_Surveillance_Capitalism</t>
        </is>
      </c>
    </row>
    <row r="39">
      <c r="A39" s="34" t="n">
        <v>38</v>
      </c>
      <c r="B39" s="35" t="inlineStr">
        <is>
          <t>ナッジ誘導の最適化人間</t>
        </is>
      </c>
      <c r="C39" s="35" t="inlineStr">
        <is>
          <t>Thaler &amp; Sunstein『Nudge』(2008)</t>
        </is>
      </c>
      <c r="D39" s="34" t="inlineStr">
        <is>
          <t>学者</t>
        </is>
      </c>
      <c r="E39" s="36" t="inlineStr">
        <is>
          <t>https://en.wikipedia.org/wiki/Nudge_(book)</t>
        </is>
      </c>
    </row>
    <row r="40">
      <c r="A40" s="34" t="n">
        <v>39</v>
      </c>
      <c r="B40" s="35" t="inlineStr">
        <is>
          <t>幸福な家畜(快楽的従属)</t>
        </is>
      </c>
      <c r="C40" s="35" t="inlineStr">
        <is>
          <t>A.Huxley『すばらしい新世界』(1932)/N.Postman『Amusing Ourselves to Death』(1985)</t>
        </is>
      </c>
      <c r="D40" s="34" t="inlineStr">
        <is>
          <t>文学/学者</t>
        </is>
      </c>
      <c r="E40" s="36" t="inlineStr">
        <is>
          <t>https://en.wikipedia.org/wiki/Brave_New_World</t>
        </is>
      </c>
    </row>
    <row r="41">
      <c r="A41" s="34" t="n">
        <v>40</v>
      </c>
      <c r="B41" s="35" t="inlineStr">
        <is>
          <t>自己家畜化を肯定する人</t>
        </is>
      </c>
      <c r="C41" s="35" t="inlineStr">
        <is>
          <t>R.Wrangham『The Goodness Paradox』(2019)/小原秀雄 自己家畜化論</t>
        </is>
      </c>
      <c r="D41" s="34" t="inlineStr">
        <is>
          <t>学者</t>
        </is>
      </c>
      <c r="E41" s="36" t="inlineStr">
        <is>
          <t>https://en.wikipedia.org/wiki/Self-domestication</t>
        </is>
      </c>
    </row>
    <row r="42">
      <c r="A42" s="34" t="n">
        <v>41</v>
      </c>
      <c r="B42" s="35" t="inlineStr">
        <is>
          <t>ポスト労働・脱労働志向</t>
        </is>
      </c>
      <c r="C42" s="35" t="inlineStr">
        <is>
          <t>Srnicek &amp; Williams『Inventing the Future』(2015)</t>
        </is>
      </c>
      <c r="D42" s="34" t="inlineStr">
        <is>
          <t>学者</t>
        </is>
      </c>
      <c r="E42" s="36" t="inlineStr">
        <is>
          <t>https://en.wikipedia.org/wiki/Post-work_society</t>
        </is>
      </c>
    </row>
    <row r="43">
      <c r="A43" s="34" t="n">
        <v>42</v>
      </c>
      <c r="B43" s="35" t="inlineStr">
        <is>
          <t>身体放棄(トランスヒューマニズム)</t>
        </is>
      </c>
      <c r="C43" s="35" t="inlineStr">
        <is>
          <t>Nick Bostrom『Transhumanist FAQ』(2003)</t>
        </is>
      </c>
      <c r="D43" s="34" t="inlineStr">
        <is>
          <t>学者</t>
        </is>
      </c>
      <c r="E43" s="36" t="inlineStr">
        <is>
          <t>https://en.wikipedia.org/wiki/Transhumanism</t>
        </is>
      </c>
    </row>
    <row r="44">
      <c r="A44" s="34" t="n">
        <v>43</v>
      </c>
      <c r="B44" s="35" t="inlineStr">
        <is>
          <t>ケアロボ前提の老後設計</t>
        </is>
      </c>
      <c r="C44" s="35" t="inlineStr">
        <is>
          <t>経済産業省 介護ロボット導入施策/関連白書</t>
        </is>
      </c>
      <c r="D44" s="34" t="inlineStr">
        <is>
          <t>行政</t>
        </is>
      </c>
      <c r="E44" s="36" t="inlineStr">
        <is>
          <t>https://www.meti.go.jp/policy/mono_info_service/healthcare/</t>
        </is>
      </c>
    </row>
    <row r="45">
      <c r="A45" s="34" t="n">
        <v>44</v>
      </c>
      <c r="B45" s="35" t="inlineStr">
        <is>
          <t>終活・縮小均衡(守りの撤退)</t>
        </is>
      </c>
      <c r="C45" s="35" t="inlineStr">
        <is>
          <t>内閣府『高齢社会白書』(各年)</t>
        </is>
      </c>
      <c r="D45" s="34" t="inlineStr">
        <is>
          <t>行政</t>
        </is>
      </c>
      <c r="E45" s="36" t="inlineStr">
        <is>
          <t>https://www8.cao.go.jp/kourei/whitepaper/index-w.html</t>
        </is>
      </c>
    </row>
    <row r="46">
      <c r="A46" s="34" t="n">
        <v>45</v>
      </c>
      <c r="B46" s="35" t="inlineStr">
        <is>
          <t>スマホ・アテンション中毒(ドゥームスクロール)</t>
        </is>
      </c>
      <c r="C46" s="35" t="inlineStr">
        <is>
          <t>Tim Wu『The Attention Merchants』(2016)/Adam Alter『Irresistible』(2017)</t>
        </is>
      </c>
      <c r="D46" s="34" t="inlineStr">
        <is>
          <t>学者</t>
        </is>
      </c>
      <c r="E46" s="36" t="inlineStr">
        <is>
          <t>https://en.wikipedia.org/wiki/The_Attention_Merchants</t>
        </is>
      </c>
    </row>
    <row r="47">
      <c r="A47" s="34" t="n">
        <v>46</v>
      </c>
      <c r="B47" s="35" t="inlineStr">
        <is>
          <t>マッチング依存(出会いの外注)</t>
        </is>
      </c>
      <c r="C47" s="35" t="inlineStr">
        <is>
          <t>Finkel et al. オンラインデートの実証研究(2012, PSPI)</t>
        </is>
      </c>
      <c r="D47" s="34" t="inlineStr">
        <is>
          <t>学者</t>
        </is>
      </c>
      <c r="E47" s="36" t="inlineStr">
        <is>
          <t>https://doi.org/10.1177/1529100612436522</t>
        </is>
      </c>
    </row>
    <row r="48">
      <c r="A48" s="37" t="inlineStr">
        <is>
          <t>※URLは恒久リンク。政府・国際機関・DOIの一次資料(内閣府ひきこもり調査・総務省投票率・厚労省被保護者調査・経産省EC市場調査・WHO・Arnstein/Finkel論文)は所在確認済み。書籍・概念はWikipedia/DOI/公式サイトの安定ページを使用。政府資料は最新年版を要確認。</t>
        </is>
      </c>
    </row>
  </sheetData>
  <mergeCells count="1">
    <mergeCell ref="A48:E48"/>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0" customWidth="1" min="3" max="3"/>
    <col width="70" customWidth="1" min="4" max="4"/>
  </cols>
  <sheetData>
    <row r="1">
      <c r="A1" s="33" t="inlineStr">
        <is>
          <t>関連No.</t>
        </is>
      </c>
      <c r="B1" s="33" t="inlineStr">
        <is>
          <t>報告書(発行機関・年)</t>
        </is>
      </c>
      <c r="C1" s="33" t="inlineStr">
        <is>
          <t>資料</t>
        </is>
      </c>
      <c r="D1" s="33" t="inlineStr">
        <is>
          <t>直リンクURL</t>
        </is>
      </c>
    </row>
    <row r="2">
      <c r="A2" s="34" t="inlineStr">
        <is>
          <t>3</t>
        </is>
      </c>
      <c r="B2" s="35" t="inlineStr">
        <is>
          <t>こども家庭庁『こども・若者の意識と生活に関する調査(令和4年度)』2025掲載 ※旧内閣府調査・ひきこもり約146万人の根拠</t>
        </is>
      </c>
      <c r="C2" s="35" t="inlineStr">
        <is>
          <t>調査トップページ</t>
        </is>
      </c>
      <c r="D2" s="36" t="inlineStr">
        <is>
          <t>https://www.cfa.go.jp/resources/research/chilren-attitudes</t>
        </is>
      </c>
    </row>
    <row r="3">
      <c r="A3" s="34" t="inlineStr">
        <is>
          <t>3</t>
        </is>
      </c>
      <c r="B3" s="35" t="inlineStr">
        <is>
          <t>同上</t>
        </is>
      </c>
      <c r="C3" s="35" t="inlineStr">
        <is>
          <t>第2章 15〜39歳対象調査(広義のひきこもり群)PDF</t>
        </is>
      </c>
      <c r="D3" s="36" t="inlineStr">
        <is>
          <t>https://www.cfa.go.jp/assets/contents/node/basic_page/field_ref_resources/85674a4c-22e0-4483-a7fb-83319b266439/7c1f54a1/20250305-resources-research-chilren-attitudes_04.pdf</t>
        </is>
      </c>
    </row>
    <row r="4">
      <c r="A4" s="34" t="inlineStr">
        <is>
          <t>3</t>
        </is>
      </c>
      <c r="B4" s="35" t="inlineStr">
        <is>
          <t>同上</t>
        </is>
      </c>
      <c r="C4" s="35" t="inlineStr">
        <is>
          <t>第3章 40〜69歳対象調査PDF</t>
        </is>
      </c>
      <c r="D4" s="36" t="inlineStr">
        <is>
          <t>https://www.cfa.go.jp/assets/contents/node/basic_page/field_ref_resources/85674a4c-22e0-4483-a7fb-83319b266439/1dc068e8/20250305-resources-research-chilren-attitudes_05.pdf</t>
        </is>
      </c>
    </row>
    <row r="5">
      <c r="A5" s="34" t="inlineStr">
        <is>
          <t>3</t>
        </is>
      </c>
      <c r="B5" s="35" t="inlineStr">
        <is>
          <t>同上</t>
        </is>
      </c>
      <c r="C5" s="35" t="inlineStr">
        <is>
          <t>第1部 調査の概要PDF</t>
        </is>
      </c>
      <c r="D5" s="36" t="inlineStr">
        <is>
          <t>https://www.cfa.go.jp/assets/contents/node/basic_page/field_ref_resources/85674a4c-22e0-4483-a7fb-83319b266439/10a07986/20250305-resources-research-chilren-attitudes_02.pdf</t>
        </is>
      </c>
    </row>
    <row r="6">
      <c r="A6" s="34" t="inlineStr">
        <is>
          <t>4</t>
        </is>
      </c>
      <c r="B6" s="35" t="inlineStr">
        <is>
          <t>内閣府『生活状況に関する調査(平成30年度)』2019公表 ※中高年(40〜64歳)ひきこもり約61万人の根拠。現在は国立国会図書館WARPに保存</t>
        </is>
      </c>
      <c r="C6" s="35" t="inlineStr">
        <is>
          <t>WARPアーカイブ索引(報告書PDF一覧へ)</t>
        </is>
      </c>
      <c r="D6" s="36" t="inlineStr">
        <is>
          <t>https://warp.ndl.go.jp/web/20230703141614/www8.cao.go.jp/youth/kenkyu/life/h30/pdf-index.html</t>
        </is>
      </c>
    </row>
    <row r="7">
      <c r="A7" s="34" t="inlineStr">
        <is>
          <t>14</t>
        </is>
      </c>
      <c r="B7" s="35" t="inlineStr">
        <is>
          <t>経済産業省『電子商取引に関する市場調査(令和6年度)』2025年8月26日公表</t>
        </is>
      </c>
      <c r="C7" s="35" t="inlineStr">
        <is>
          <t>報告書(本編)PDF</t>
        </is>
      </c>
      <c r="D7" s="36" t="inlineStr">
        <is>
          <t>https://www.meti.go.jp/policy/it_policy/statistics/outlook/250826_houkokusho.pdf</t>
        </is>
      </c>
    </row>
    <row r="8">
      <c r="A8" s="34" t="inlineStr">
        <is>
          <t>14</t>
        </is>
      </c>
      <c r="B8" s="35" t="inlineStr">
        <is>
          <t>同上</t>
        </is>
      </c>
      <c r="C8" s="35" t="inlineStr">
        <is>
          <t>公表資料(概要)PDF</t>
        </is>
      </c>
      <c r="D8" s="36" t="inlineStr">
        <is>
          <t>https://www.meti.go.jp/policy/it_policy/statistics/outlook/250826_kohyoshiryo.pdf</t>
        </is>
      </c>
    </row>
    <row r="9">
      <c r="A9" s="34" t="inlineStr">
        <is>
          <t>14</t>
        </is>
      </c>
      <c r="B9" s="35" t="inlineStr">
        <is>
          <t>同上</t>
        </is>
      </c>
      <c r="C9" s="35" t="inlineStr">
        <is>
          <t>年度別 一覧ページ</t>
        </is>
      </c>
      <c r="D9" s="36" t="inlineStr">
        <is>
          <t>https://www.meti.go.jp/policy/it_policy/statistics/outlook/ie_outlook.html</t>
        </is>
      </c>
    </row>
    <row r="10">
      <c r="A10" s="34" t="inlineStr">
        <is>
          <t>15</t>
        </is>
      </c>
      <c r="B10" s="35" t="inlineStr">
        <is>
          <t>総務省『国政選挙における投票率の推移』</t>
        </is>
      </c>
      <c r="C10" s="35" t="inlineStr">
        <is>
          <t>推移グラフPDF</t>
        </is>
      </c>
      <c r="D10" s="36" t="inlineStr">
        <is>
          <t>https://www.soumu.go.jp/main_content/000255919.pdf</t>
        </is>
      </c>
    </row>
    <row r="11">
      <c r="A11" s="34" t="inlineStr">
        <is>
          <t>15</t>
        </is>
      </c>
      <c r="B11" s="35" t="inlineStr">
        <is>
          <t>同上</t>
        </is>
      </c>
      <c r="C11" s="35" t="inlineStr">
        <is>
          <t>解説ページ</t>
        </is>
      </c>
      <c r="D11" s="36" t="inlineStr">
        <is>
          <t>https://www.soumu.go.jp/senkyo/senkyo_s/news/sonota/ritu/</t>
        </is>
      </c>
    </row>
    <row r="12">
      <c r="A12" s="34" t="inlineStr">
        <is>
          <t>22</t>
        </is>
      </c>
      <c r="B12" s="35" t="inlineStr">
        <is>
          <t>厚生労働省『被保護者調査』</t>
        </is>
      </c>
      <c r="C12" s="35" t="inlineStr">
        <is>
          <t>調査の結果(月次確定値PDF一覧)</t>
        </is>
      </c>
      <c r="D12" s="36" t="inlineStr">
        <is>
          <t>https://www.mhlw.go.jp/toukei/list/74-16b.html</t>
        </is>
      </c>
    </row>
    <row r="13">
      <c r="A13" s="34" t="inlineStr">
        <is>
          <t>22</t>
        </is>
      </c>
      <c r="B13" s="35" t="inlineStr">
        <is>
          <t>同上</t>
        </is>
      </c>
      <c r="C13" s="35" t="inlineStr">
        <is>
          <t>最新データ(政府統計 e-Stat)</t>
        </is>
      </c>
      <c r="D13" s="36" t="inlineStr">
        <is>
          <t>https://www.e-stat.go.jp/stat-search/files?toukei=00450312</t>
        </is>
      </c>
    </row>
    <row r="14">
      <c r="A14" s="34" t="inlineStr">
        <is>
          <t>44</t>
        </is>
      </c>
      <c r="B14" s="35" t="inlineStr">
        <is>
          <t>内閣府『高齢社会白書(令和8年版)』</t>
        </is>
      </c>
      <c r="C14" s="35" t="inlineStr">
        <is>
          <t>全文 PDF版 索引</t>
        </is>
      </c>
      <c r="D14" s="36" t="inlineStr">
        <is>
          <t>https://www8.cao.go.jp/kourei/whitepaper/w-2026/zenbun/08pdf_index.html</t>
        </is>
      </c>
    </row>
    <row r="15">
      <c r="A15" s="34" t="inlineStr">
        <is>
          <t>44</t>
        </is>
      </c>
      <c r="B15" s="35" t="inlineStr">
        <is>
          <t>同上</t>
        </is>
      </c>
      <c r="C15" s="35" t="inlineStr">
        <is>
          <t>白書トップ(各年版)</t>
        </is>
      </c>
      <c r="D15" s="36" t="inlineStr">
        <is>
          <t>https://www8.cao.go.jp/kourei/whitepaper/index-w.html</t>
        </is>
      </c>
    </row>
    <row r="16">
      <c r="A16" s="37" t="inlineStr">
        <is>
          <t>※全URLは2026年6月にブラウザで所在確認済み。内閣府の青少年調査ページは こども家庭庁(cfa.go.jp)／国会図書館WARP へ移管されたため現行リンクに更新。政府資料は最新年版が随時追加されるため、各トップページから最新版も確認可。</t>
        </is>
      </c>
    </row>
  </sheetData>
  <mergeCells count="1">
    <mergeCell ref="A16:D16"/>
  </mergeCell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2026-07-02T16:39:13Z</dcterms:created>
  <dcterms:modified xmlns:dcterms="http://purl.org/dc/terms/" xmlns:xsi="http://www.w3.org/2001/XMLSchema-instance" xsi:type="dcterms:W3CDTF">2026-07-02T16:39:13Z</dcterms:modified>
</cp:coreProperties>
</file>